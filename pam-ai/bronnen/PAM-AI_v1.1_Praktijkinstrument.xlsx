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dc94a7a044a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tart" sheetId="1" r:id="Rb3e2c9fb0dfc483d"/>
    <x:sheet xmlns:r="http://schemas.openxmlformats.org/officeDocument/2006/relationships" name="01_Intake" sheetId="2" r:id="R30a6dcc58d65417d"/>
    <x:sheet xmlns:r="http://schemas.openxmlformats.org/officeDocument/2006/relationships" name="02_Kandidaten" sheetId="3" r:id="Raea4fdf92a2a4c6d"/>
    <x:sheet xmlns:r="http://schemas.openxmlformats.org/officeDocument/2006/relationships" name="03_Poort1" sheetId="4" r:id="R14a80edd17e742d5"/>
    <x:sheet xmlns:r="http://schemas.openxmlformats.org/officeDocument/2006/relationships" name="04_Testontwerp" sheetId="5" r:id="R4bafa9bd7ba24bf2"/>
    <x:sheet xmlns:r="http://schemas.openxmlformats.org/officeDocument/2006/relationships" name="05_Testcases" sheetId="6" r:id="R24b391890c13483e"/>
    <x:sheet xmlns:r="http://schemas.openxmlformats.org/officeDocument/2006/relationships" name="06_Analyse" sheetId="7" r:id="R738a3b825d4e486a"/>
    <x:sheet xmlns:r="http://schemas.openxmlformats.org/officeDocument/2006/relationships" name="07_Bewijs" sheetId="8" r:id="Rfeeea91f29534c50"/>
    <x:sheet xmlns:r="http://schemas.openxmlformats.org/officeDocument/2006/relationships" name="08_Vergelijking" sheetId="9" r:id="Rceaecd4432074546"/>
    <x:sheet xmlns:r="http://schemas.openxmlformats.org/officeDocument/2006/relationships" name="09_Besluit" sheetId="10" r:id="R95ee95704dbd4caa"/>
    <x:sheet xmlns:r="http://schemas.openxmlformats.org/officeDocument/2006/relationships" name="10_Validatie" sheetId="11" r:id="R52968a45e22a42c7"/>
  </x:sheets>
</x:workbook>
</file>

<file path=xl/comments1.xml><?xml version="1.0" encoding="utf-8"?>
<x:comments xmlns:x="http://schemas.openxmlformats.org/spreadsheetml/2006/main">
  <x:authors>
    <x:author>tc={0C396380-8F0F-4E16-8364-0E3D02CC7EEE}</x:author>
    <x:author>tc={4870A7CF-38E4-4EC1-BA0C-9A54873A9967}</x:author>
  </x:authors>
  <x:commentList>
    <x:comment ref="B3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 effectieve bewijsbodem voorkomt schijnzekerheid. Met de standaard 2%-grens en nul critical errors is n=189 nodig voordat de Wilson-bovengrens de grens bereikt.</x:t>
        </x:r>
      </x:text>
    </x:comment>
    <x:comment ref="B2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Bevestig de aanbevolen route of motiveer expliciet waarom je afwijkt.</x:t>
        </x:r>
      </x:text>
    </x:comment>
  </x:commentList>
</x:comments>
</file>

<file path=xl/comments2.xml><?xml version="1.0" encoding="utf-8"?>
<x:comments xmlns:x="http://schemas.openxmlformats.org/spreadsheetml/2006/main">
  <x:authors>
    <x:author>tc={09FA17DE-A15F-4184-948B-BD53AC9FCE22}</x:author>
  </x:authors>
  <x:commentList>
    <x:comment ref="M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Poort 1 is hard: een FAIL kan niet worden gecompenseerd door betere prestaties of lagere kosten.</x:t>
        </x:r>
      </x:text>
    </x:comment>
  </x:commentList>
</x:comments>
</file>

<file path=xl/comments3.xml><?xml version="1.0" encoding="utf-8"?>
<x:comments xmlns:x="http://schemas.openxmlformats.org/spreadsheetml/2006/main">
  <x:authors>
    <x:author>tc={6046565B-F547-47B7-8816-B7656EF278BE}</x:author>
  </x:authors>
  <x:commentList>
    <x:comment ref="B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 functionele eenheid voorkomt dat een goedkope mislukte poging gunstiger lijkt dan een duurdere maar geaccepteerde taakuitkomst.</x:t>
        </x:r>
      </x:text>
    </x:comment>
  </x:commentList>
</x:comments>
</file>

<file path=xl/comments4.xml><?xml version="1.0" encoding="utf-8"?>
<x:comments xmlns:x="http://schemas.openxmlformats.org/spreadsheetml/2006/main">
  <x:authors>
    <x:author>tc={ECE92E0C-F6F8-44DF-BA6F-3921B3CED122}</x:author>
    <x:author>tc={0DB6D64F-6D78-4C46-886D-F5AA634E9CC0}</x:author>
  </x:authors>
  <x:commentList>
    <x:comment ref="E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Gebruik het finale geaccepteerde taakresultaat (1/0), niet elke poging als afzonderlijke testcase.</x:t>
        </x:r>
      </x:text>
    </x:comment>
    <x:comment ref="F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Als in enige poging een critical error optrad, noteer 1. Retries mogen critical errors niet verdunnen.</x:t>
        </x:r>
      </x:text>
    </x:comment>
  </x:commentList>
</x:comments>
</file>

<file path=xl/comments5.xml><?xml version="1.0" encoding="utf-8"?>
<x:comments xmlns:x="http://schemas.openxmlformats.org/spreadsheetml/2006/main">
  <x:authors>
    <x:author>tc={D46D9186-BFB4-4AE2-917F-C398D7EAC767}</x:author>
  </x:authors>
  <x:commentList>
    <x:comment ref="P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Een kandidaat krijgt pas PASS als zowel de puntschattingen als de Wilson-grenzen en de ontwerpcontroles voldoen.</x:t>
        </x:r>
      </x:text>
    </x:comment>
  </x:commentList>
</x:comments>
</file>

<file path=xl/comments6.xml><?xml version="1.0" encoding="utf-8"?>
<x:comments xmlns:x="http://schemas.openxmlformats.org/spreadsheetml/2006/main">
  <x:authors>
    <x:author>tc={CD2CCA4F-A686-48E8-9F46-AB9C4A196537}</x:author>
  </x:authors>
  <x:commentList>
    <x:comment ref="Q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PAM-AI gebruikt bewust geen gewogen totaalscore. De proportionaliteitsconclusie blijft een gemotiveerd, controleerbaar oordeel.</x:t>
        </x:r>
      </x:text>
    </x:comment>
  </x:commentList>
</x:comments>
</file>

<file path=xl/comments7.xml><?xml version="1.0" encoding="utf-8"?>
<x:comments xmlns:x="http://schemas.openxmlformats.org/spreadsheetml/2006/main">
  <x:authors>
    <x:author>tc={895A340E-1796-423E-A592-29757B7633FB}</x:author>
  </x:authors>
  <x:commentList>
    <x:comment ref="B4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 status bewaakt het verschil tussen een begrensde pilot en een volledig proportionaliteitsbesluit.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-mm-yyyy"/>
    <x:numFmt numFmtId="201" formatCode="0.0%"/>
    <x:numFmt numFmtId="202" formatCode="0.00"/>
    <x:numFmt numFmtId="203" formatCode="0"/>
    <x:numFmt numFmtId="204" formatCode="0.000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43B53"/>
      <x:name val="Carlito"/>
    </x:font>
    <x:font>
      <x:b/>
      <x:sz val="12"/>
      <x:color rgb="FF102A43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i/>
      <x:sz val="11"/>
      <x:color rgb="FF486581"/>
      <x:name val="Carlito"/>
    </x:font>
    <x:font>
      <x:b/>
      <x:sz val="11"/>
      <x:color rgb="FF243B53"/>
      <x:name val="Carlito"/>
    </x:font>
    <x:font>
      <x:sz val="11"/>
      <x:color rgb="FF243B53"/>
      <x:name val="Carlito"/>
    </x:font>
    <x:font>
      <x:sz val="11"/>
      <x:color rgb="FF486581"/>
      <x:name val="Carlito"/>
    </x:font>
    <x:font>
      <x:b/>
      <x:sz val="11"/>
      <x:color rgb="FF102A4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8F1FA"/>
      </x:patternFill>
    </x:fill>
    <x:fill>
      <x:patternFill patternType="solid">
        <x:fgColor rgb="FF486581"/>
      </x:patternFill>
    </x:fill>
    <x:fill>
      <x:patternFill patternType="solid">
        <x:fgColor rgb="FF4C78A8"/>
      </x:patternFill>
    </x:fill>
    <x:fill>
      <x:patternFill patternType="solid">
        <x:fgColor rgb="FFFFF1C2"/>
      </x:patternFill>
    </x:fill>
    <x:fill>
      <x:patternFill patternType="solid">
        <x:fgColor rgb="FFFFF4CC"/>
      </x:patternFill>
    </x:fill>
    <x:fill>
      <x:patternFill patternType="solid">
        <x:fgColor rgb="FFDDF4E7"/>
      </x:patternFill>
    </x:fill>
    <x:fill>
      <x:patternFill patternType="solid">
        <x:fgColor rgb="FFF3F4F6"/>
      </x:patternFill>
    </x:fill>
  </x:fills>
  <x:borders count="25">
    <x:border/>
    <x:border>
      <x:left style="medium">
        <x:color rgb="FF4C78A8"/>
      </x:left>
      <x:top style="medium">
        <x:color rgb="FF4C78A8"/>
      </x:top>
    </x:border>
    <x:border>
      <x:top style="medium">
        <x:color rgb="FF4C78A8"/>
      </x:top>
    </x:border>
    <x:border>
      <x:right style="medium">
        <x:color rgb="FF4C78A8"/>
      </x:right>
      <x:top style="medium">
        <x:color rgb="FF4C78A8"/>
      </x:top>
    </x:border>
    <x:border>
      <x:left style="medium">
        <x:color rgb="FF4C78A8"/>
      </x:left>
      <x:bottom style="medium">
        <x:color rgb="FF4C78A8"/>
      </x:bottom>
    </x:border>
    <x:border>
      <x:bottom style="medium">
        <x:color rgb="FF4C78A8"/>
      </x:bottom>
    </x:border>
    <x:border>
      <x:right style="medium">
        <x:color rgb="FF4C78A8"/>
      </x:right>
      <x:bottom style="medium">
        <x:color rgb="FF4C78A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4C78A8"/>
      </x:left>
      <x:top style="thin">
        <x:color rgb="FF4C78A8"/>
      </x:top>
    </x:border>
    <x:border>
      <x:top style="thin">
        <x:color rgb="FF4C78A8"/>
      </x:top>
    </x:border>
    <x:border>
      <x:right style="thin">
        <x:color rgb="FF4C78A8"/>
      </x:right>
      <x:top style="thin">
        <x:color rgb="FF4C78A8"/>
      </x:top>
    </x:border>
    <x:border>
      <x:left style="thin">
        <x:color rgb="FF4C78A8"/>
      </x:left>
    </x:border>
    <x:border>
      <x:right style="thin">
        <x:color rgb="FF4C78A8"/>
      </x:right>
    </x:border>
    <x:border>
      <x:left style="thin">
        <x:color rgb="FF4C78A8"/>
      </x:left>
      <x:bottom style="thin">
        <x:color rgb="FF4C78A8"/>
      </x:bottom>
    </x:border>
    <x:border>
      <x:bottom style="thin">
        <x:color rgb="FF4C78A8"/>
      </x:bottom>
    </x:border>
    <x:border>
      <x:right style="thin">
        <x:color rgb="FF4C78A8"/>
      </x:right>
      <x:bottom style="thin">
        <x:color rgb="FF4C78A8"/>
      </x:bottom>
    </x:border>
  </x:borders>
  <x:cellStyleXfs count="1">
    <x:xf numFmtId="0" fontId="0" fillId="0" borderId="0"/>
  </x:cellStyleXfs>
  <x:cellXfs count="1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7" xfId="0" applyNumberFormat="1" applyFont="1" applyFill="1" applyBorder="1"/>
    <x:xf numFmtId="0" fontId="5" fillId="2" borderId="7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horizontal="center" vertical="top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6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/>
    <x:xf numFmtId="0" fontId="7" fillId="9" borderId="8" xfId="0" applyNumberFormat="1" applyFont="1" applyFill="1" applyBorder="1"/>
    <x:xf numFmtId="0" fontId="7" fillId="9" borderId="8" xfId="0" applyNumberFormat="1" applyFont="1" applyFill="1" applyBorder="1" applyAlignment="1">
      <x:alignment wrapText="1"/>
    </x:xf>
    <x:xf numFmtId="0" fontId="7" fillId="9" borderId="8" xfId="0" applyNumberFormat="1" applyFont="1" applyFill="1" applyBorder="1" applyAlignment="1">
      <x:alignment vertical="top" wrapText="1"/>
    </x:xf>
    <x:xf numFmtId="0" fontId="0" fillId="7" borderId="8" xfId="0" applyNumberFormat="1" applyFont="1" applyFill="1" applyBorder="1"/>
    <x:xf numFmtId="0" fontId="0" fillId="7" borderId="8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vertical="top" wrapText="1"/>
    </x:xf>
    <x:xf numFmtId="200" fontId="0" fillId="7" borderId="8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/>
    <x:xf numFmtId="0" fontId="0" fillId="3" borderId="8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vertical="top" wrapText="1"/>
    </x:xf>
    <x:xf numFmtId="201" fontId="0" fillId="7" borderId="8" xfId="0" applyNumberFormat="1" applyFont="1" applyFill="1" applyBorder="1" applyAlignment="1">
      <x:alignment vertical="top" wrapText="1"/>
    </x:xf>
    <x:xf numFmtId="202" fontId="0" fillId="7" borderId="8" xfId="0" applyNumberFormat="1" applyFont="1" applyFill="1" applyBorder="1" applyAlignment="1">
      <x:alignment vertical="top" wrapText="1"/>
    </x:xf>
    <x:xf numFmtId="203" fontId="0" fillId="7" borderId="8" xfId="0" applyNumberFormat="1" applyFont="1" applyFill="1" applyBorder="1" applyAlignment="1">
      <x:alignment vertical="top" wrapText="1"/>
    </x:xf>
    <x:xf numFmtId="203" fontId="0" fillId="3" borderId="8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/>
    <x:xf numFmtId="0" fontId="0" fillId="6" borderId="8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/>
    <x:xf numFmtId="0" fontId="9" fillId="9" borderId="9" xfId="0" applyNumberFormat="1" applyFont="1" applyFill="1" applyBorder="1"/>
    <x:xf numFmtId="0" fontId="9" fillId="9" borderId="10" xfId="0" applyNumberFormat="1" applyFont="1" applyFill="1" applyBorder="1"/>
    <x:xf numFmtId="0" fontId="9" fillId="9" borderId="11" xfId="0" applyNumberFormat="1" applyFont="1" applyFill="1" applyBorder="1"/>
    <x:xf numFmtId="0" fontId="9" fillId="9" borderId="12" xfId="0" applyNumberFormat="1" applyFont="1" applyFill="1" applyBorder="1"/>
    <x:xf numFmtId="0" fontId="9" fillId="9" borderId="13" xfId="0" applyNumberFormat="1" applyFont="1" applyFill="1" applyBorder="1"/>
    <x:xf numFmtId="0" fontId="9" fillId="9" borderId="14" xfId="0" applyNumberFormat="1" applyFont="1" applyFill="1" applyBorder="1"/>
    <x:xf numFmtId="0" fontId="9" fillId="9" borderId="15" xfId="0" applyNumberFormat="1" applyFont="1" applyFill="1" applyBorder="1"/>
    <x:xf numFmtId="0" fontId="9" fillId="9" borderId="16" xfId="0" applyNumberFormat="1" applyFont="1" applyFill="1" applyBorder="1"/>
    <x:xf numFmtId="0" fontId="9" fillId="9" borderId="9" xfId="0" applyNumberFormat="1" applyFont="1" applyFill="1" applyBorder="1" applyAlignment="1">
      <x:alignment wrapText="1"/>
    </x:xf>
    <x:xf numFmtId="0" fontId="9" fillId="9" borderId="10" xfId="0" applyNumberFormat="1" applyFont="1" applyFill="1" applyBorder="1" applyAlignment="1">
      <x:alignment wrapText="1"/>
    </x:xf>
    <x:xf numFmtId="0" fontId="9" fillId="9" borderId="11" xfId="0" applyNumberFormat="1" applyFont="1" applyFill="1" applyBorder="1" applyAlignment="1">
      <x:alignment wrapText="1"/>
    </x:xf>
    <x:xf numFmtId="0" fontId="9" fillId="9" borderId="12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wrapText="1"/>
    </x:xf>
    <x:xf numFmtId="0" fontId="9" fillId="9" borderId="13" xfId="0" applyNumberFormat="1" applyFont="1" applyFill="1" applyBorder="1" applyAlignment="1">
      <x:alignment wrapText="1"/>
    </x:xf>
    <x:xf numFmtId="0" fontId="9" fillId="9" borderId="14" xfId="0" applyNumberFormat="1" applyFont="1" applyFill="1" applyBorder="1" applyAlignment="1">
      <x:alignment wrapText="1"/>
    </x:xf>
    <x:xf numFmtId="0" fontId="9" fillId="9" borderId="15" xfId="0" applyNumberFormat="1" applyFont="1" applyFill="1" applyBorder="1" applyAlignment="1">
      <x:alignment wrapText="1"/>
    </x:xf>
    <x:xf numFmtId="0" fontId="9" fillId="9" borderId="16" xfId="0" applyNumberFormat="1" applyFont="1" applyFill="1" applyBorder="1" applyAlignment="1">
      <x:alignment wrapText="1"/>
    </x:xf>
    <x:xf numFmtId="0" fontId="9" fillId="9" borderId="9" xfId="0" applyNumberFormat="1" applyFont="1" applyFill="1" applyBorder="1" applyAlignment="1">
      <x:alignment vertical="top" wrapText="1"/>
    </x:xf>
    <x:xf numFmtId="0" fontId="9" fillId="9" borderId="10" xfId="0" applyNumberFormat="1" applyFont="1" applyFill="1" applyBorder="1" applyAlignment="1">
      <x:alignment vertical="top" wrapText="1"/>
    </x:xf>
    <x:xf numFmtId="0" fontId="9" fillId="9" borderId="11" xfId="0" applyNumberFormat="1" applyFont="1" applyFill="1" applyBorder="1" applyAlignment="1">
      <x:alignment vertical="top" wrapText="1"/>
    </x:xf>
    <x:xf numFmtId="0" fontId="9" fillId="9" borderId="12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vertical="top" wrapText="1"/>
    </x:xf>
    <x:xf numFmtId="0" fontId="9" fillId="9" borderId="13" xfId="0" applyNumberFormat="1" applyFont="1" applyFill="1" applyBorder="1" applyAlignment="1">
      <x:alignment vertical="top" wrapText="1"/>
    </x:xf>
    <x:xf numFmtId="0" fontId="9" fillId="9" borderId="14" xfId="0" applyNumberFormat="1" applyFont="1" applyFill="1" applyBorder="1" applyAlignment="1">
      <x:alignment vertical="top" wrapText="1"/>
    </x:xf>
    <x:xf numFmtId="0" fontId="9" fillId="9" borderId="15" xfId="0" applyNumberFormat="1" applyFont="1" applyFill="1" applyBorder="1" applyAlignment="1">
      <x:alignment vertical="top" wrapText="1"/>
    </x:xf>
    <x:xf numFmtId="0" fontId="9" fillId="9" borderId="16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/>
    <x:xf numFmtId="0" fontId="10" fillId="3" borderId="8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204" fontId="0" fillId="7" borderId="8" xfId="0" applyNumberFormat="1" applyFont="1" applyFill="1" applyBorder="1" applyAlignment="1">
      <x:alignment vertical="top" wrapText="1"/>
    </x:xf>
    <x:xf numFmtId="204" fontId="0" fillId="3" borderId="8" xfId="0" applyNumberFormat="1" applyFont="1" applyFill="1" applyBorder="1" applyAlignment="1">
      <x:alignment vertical="top" wrapText="1"/>
    </x:xf>
    <x:xf numFmtId="201" fontId="0" fillId="3" borderId="8" xfId="0" applyNumberFormat="1" applyFont="1" applyFill="1" applyBorder="1" applyAlignment="1">
      <x:alignment vertical="top" wrapText="1"/>
    </x:xf>
    <x:xf numFmtId="0" fontId="6" fillId="9" borderId="8" xfId="0" applyNumberFormat="1" applyFont="1" applyFill="1" applyBorder="1"/>
    <x:xf numFmtId="0" fontId="6" fillId="9" borderId="8" xfId="0" applyNumberFormat="1" applyFont="1" applyFill="1" applyBorder="1" applyAlignment="1">
      <x:alignment wrapText="1"/>
    </x:xf>
    <x:xf numFmtId="200" fontId="0" fillId="3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8" xfId="0" applyNumberFormat="1" applyFont="1" applyFill="1" applyBorder="1" applyAlignment="1">
      <x:alignment wrapText="1"/>
    </x:xf>
    <x:xf numFmtId="0" fontId="0" fillId="9" borderId="8" xfId="0" applyNumberFormat="1" applyFont="1" applyFill="1" applyBorder="1"/>
    <x:xf numFmtId="0" fontId="0" fillId="9" borderId="8" xfId="0" applyNumberFormat="1" applyFont="1" applyFill="1" applyBorder="1" applyAlignment="1">
      <x:alignment wrapText="1"/>
    </x:xf>
    <x:xf numFmtId="0" fontId="0" fillId="9" borderId="8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3" borderId="17" xfId="0" applyNumberFormat="1" applyFont="1" applyFill="1" applyBorder="1"/>
    <x:xf numFmtId="0" fontId="0" fillId="3" borderId="18" xfId="0" applyNumberFormat="1" applyFont="1" applyFill="1" applyBorder="1"/>
    <x:xf numFmtId="0" fontId="0" fillId="3" borderId="19" xfId="0" applyNumberFormat="1" applyFont="1" applyFill="1" applyBorder="1"/>
    <x:xf numFmtId="0" fontId="0" fillId="3" borderId="20" xfId="0" applyNumberFormat="1" applyFont="1" applyFill="1" applyBorder="1"/>
    <x:xf numFmtId="0" fontId="0" fillId="3" borderId="21" xfId="0" applyNumberFormat="1" applyFont="1" applyFill="1" applyBorder="1"/>
    <x:xf numFmtId="0" fontId="0" fillId="3" borderId="22" xfId="0" applyNumberFormat="1" applyFont="1" applyFill="1" applyBorder="1"/>
    <x:xf numFmtId="0" fontId="0" fillId="3" borderId="23" xfId="0" applyNumberFormat="1" applyFont="1" applyFill="1" applyBorder="1"/>
    <x:xf numFmtId="0" fontId="0" fillId="3" borderId="24" xfId="0" applyNumberFormat="1" applyFont="1" applyFill="1" applyBorder="1"/>
    <x:xf numFmtId="0" fontId="0" fillId="3" borderId="17" xfId="0" applyNumberFormat="1" applyFont="1" applyFill="1" applyBorder="1" applyAlignment="1">
      <x:alignment wrapText="1"/>
    </x:xf>
    <x:xf numFmtId="0" fontId="0" fillId="3" borderId="18" xfId="0" applyNumberFormat="1" applyFont="1" applyFill="1" applyBorder="1" applyAlignment="1">
      <x:alignment wrapText="1"/>
    </x:xf>
    <x:xf numFmtId="0" fontId="0" fillId="3" borderId="19" xfId="0" applyNumberFormat="1" applyFont="1" applyFill="1" applyBorder="1" applyAlignment="1">
      <x:alignment wrapText="1"/>
    </x:xf>
    <x:xf numFmtId="0" fontId="0" fillId="3" borderId="2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21" xfId="0" applyNumberFormat="1" applyFont="1" applyFill="1" applyBorder="1" applyAlignment="1">
      <x:alignment wrapText="1"/>
    </x:xf>
    <x:xf numFmtId="0" fontId="0" fillId="3" borderId="22" xfId="0" applyNumberFormat="1" applyFont="1" applyFill="1" applyBorder="1" applyAlignment="1">
      <x:alignment wrapText="1"/>
    </x:xf>
    <x:xf numFmtId="0" fontId="0" fillId="3" borderId="23" xfId="0" applyNumberFormat="1" applyFont="1" applyFill="1" applyBorder="1" applyAlignment="1">
      <x:alignment wrapText="1"/>
    </x:xf>
    <x:xf numFmtId="0" fontId="0" fillId="3" borderId="24" xfId="0" applyNumberFormat="1" applyFont="1" applyFill="1" applyBorder="1" applyAlignment="1">
      <x:alignment wrapText="1"/>
    </x:xf>
    <x:xf numFmtId="0" fontId="0" fillId="3" borderId="17" xfId="0" applyNumberFormat="1" applyFont="1" applyFill="1" applyBorder="1" applyAlignment="1">
      <x:alignment vertical="top" wrapText="1"/>
    </x:xf>
    <x:xf numFmtId="0" fontId="0" fillId="3" borderId="18" xfId="0" applyNumberFormat="1" applyFont="1" applyFill="1" applyBorder="1" applyAlignment="1">
      <x:alignment vertical="top" wrapText="1"/>
    </x:xf>
    <x:xf numFmtId="0" fontId="0" fillId="3" borderId="19" xfId="0" applyNumberFormat="1" applyFont="1" applyFill="1" applyBorder="1" applyAlignment="1">
      <x:alignment vertical="top" wrapText="1"/>
    </x:xf>
    <x:xf numFmtId="0" fontId="0" fillId="3" borderId="2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21" xfId="0" applyNumberFormat="1" applyFont="1" applyFill="1" applyBorder="1" applyAlignment="1">
      <x:alignment vertical="top" wrapText="1"/>
    </x:xf>
    <x:xf numFmtId="0" fontId="0" fillId="3" borderId="22" xfId="0" applyNumberFormat="1" applyFont="1" applyFill="1" applyBorder="1" applyAlignment="1">
      <x:alignment vertical="top" wrapText="1"/>
    </x:xf>
    <x:xf numFmtId="0" fontId="0" fillId="3" borderId="23" xfId="0" applyNumberFormat="1" applyFont="1" applyFill="1" applyBorder="1" applyAlignment="1">
      <x:alignment vertical="top" wrapText="1"/>
    </x:xf>
    <x:xf numFmtId="0" fontId="0" fillId="3" borderId="24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/>
    </x:xf>
    <x:xf numFmtId="0" fontId="5" fillId="2" borderId="7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/>
    </x:xf>
    <x:xf numFmtId="0" fontId="0" fillId="8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6" fillId="9" borderId="0" xfId="0" applyNumberFormat="1" applyFont="1" applyFill="1" applyBorder="1" applyAlignment="1">
      <x:alignment vertical="top" wrapText="1"/>
    </x:xf>
    <x:xf numFmtId="0" fontId="10" fillId="3" borderId="8" xfId="0" applyNumberFormat="1" applyFont="1" applyFill="1" applyBorder="1" applyAlignment="1">
      <x:alignment vertical="top"/>
    </x:xf>
    <x:xf numFmtId="0" fontId="6" fillId="9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104">
    <x:dxf>
      <x:font>
        <x:b/>
        <x:color rgb="FF17603A"/>
      </x:font>
      <x:fill>
        <x:patternFill patternType="solid">
          <x:bgColor rgb="FFDDF4E7"/>
        </x:patternFill>
      </x:fill>
    </x:dxf>
    <x:dxf>
      <x:font>
        <x:b/>
        <x:color rgb="FF17603A"/>
      </x:font>
      <x:fill>
        <x:patternFill patternType="solid">
          <x:bgColor rgb="FFDDF4E7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17603A"/>
      </x:font>
      <x:fill>
        <x:patternFill patternType="solid">
          <x:bgColor rgb="FFDDF4E7"/>
        </x:patternFill>
      </x:fill>
    </x:dxf>
    <x:dxf>
      <x:font>
        <x:b/>
        <x:color rgb="FF17603A"/>
      </x:font>
      <x:fill>
        <x:patternFill patternType="solid">
          <x:bgColor rgb="FFDDF4E7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17603A"/>
      </x:font>
      <x:fill>
        <x:patternFill patternType="solid">
          <x:bgColor rgb="FFDDF4E7"/>
        </x:patternFill>
      </x:fill>
    </x:dxf>
    <x:dxf>
      <x:font>
        <x:b/>
        <x:color rgb="FF17603A"/>
      </x:font>
      <x:fill>
        <x:patternFill patternType="solid">
          <x:bgColor rgb="FFDDF4E7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17603A"/>
      </x:font>
      <x:fill>
        <x:patternFill patternType="solid">
          <x:bgColor rgb="FFDDF4E7"/>
        </x:patternFill>
      </x:fill>
    </x:dxf>
    <x:dxf>
      <x:font>
        <x:b/>
        <x:color rgb="FF17603A"/>
      </x:font>
      <x:fill>
        <x:patternFill patternType="solid">
          <x:bgColor rgb="FFDDF4E7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17603A"/>
      </x:font>
      <x:fill>
        <x:patternFill patternType="solid">
          <x:bgColor rgb="FFDDF4E7"/>
        </x:patternFill>
      </x:fill>
    </x:dxf>
    <x:dxf>
      <x:font>
        <x:b/>
        <x:color rgb="FF17603A"/>
      </x:font>
      <x:fill>
        <x:patternFill patternType="solid">
          <x:bgColor rgb="FFDDF4E7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17603A"/>
      </x:font>
      <x:fill>
        <x:patternFill patternType="solid">
          <x:bgColor rgb="FFDDF4E7"/>
        </x:patternFill>
      </x:fill>
    </x:dxf>
    <x:dxf>
      <x:font>
        <x:b/>
        <x:color rgb="FF17603A"/>
      </x:font>
      <x:fill>
        <x:patternFill patternType="solid">
          <x:bgColor rgb="FFDDF4E7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17603A"/>
      </x:font>
      <x:fill>
        <x:patternFill patternType="solid">
          <x:bgColor rgb="FFDDF4E7"/>
        </x:patternFill>
      </x:fill>
    </x:dxf>
    <x:dxf>
      <x:font>
        <x:b/>
        <x:color rgb="FF17603A"/>
      </x:font>
      <x:fill>
        <x:patternFill patternType="solid">
          <x:bgColor rgb="FFDDF4E7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17603A"/>
      </x:font>
      <x:fill>
        <x:patternFill patternType="solid">
          <x:bgColor rgb="FFDDF4E7"/>
        </x:patternFill>
      </x:fill>
    </x:dxf>
    <x:dxf>
      <x:font>
        <x:b/>
        <x:color rgb="FF17603A"/>
      </x:font>
      <x:fill>
        <x:patternFill patternType="solid">
          <x:bgColor rgb="FFDDF4E7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17603A"/>
      </x:font>
      <x:fill>
        <x:patternFill patternType="solid">
          <x:bgColor rgb="FFDDF4E7"/>
        </x:patternFill>
      </x:fill>
    </x:dxf>
    <x:dxf>
      <x:font>
        <x:b/>
        <x:color rgb="FF17603A"/>
      </x:font>
      <x:fill>
        <x:patternFill patternType="solid">
          <x:bgColor rgb="FFDDF4E7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17603A"/>
      </x:font>
      <x:fill>
        <x:patternFill patternType="solid">
          <x:bgColor rgb="FFDDF4E7"/>
        </x:patternFill>
      </x:fill>
    </x:dxf>
    <x:dxf>
      <x:font>
        <x:b/>
        <x:color rgb="FF17603A"/>
      </x:font>
      <x:fill>
        <x:patternFill patternType="solid">
          <x:bgColor rgb="FFDDF4E7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17603A"/>
      </x:font>
      <x:fill>
        <x:patternFill patternType="solid">
          <x:bgColor rgb="FFDDF4E7"/>
        </x:patternFill>
      </x:fill>
    </x:dxf>
    <x:dxf>
      <x:font>
        <x:b/>
        <x:color rgb="FF17603A"/>
      </x:font>
      <x:fill>
        <x:patternFill patternType="solid">
          <x:bgColor rgb="FFDDF4E7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17603A"/>
      </x:font>
      <x:fill>
        <x:patternFill patternType="solid">
          <x:bgColor rgb="FFDDF4E7"/>
        </x:patternFill>
      </x:fill>
    </x:dxf>
    <x:dxf>
      <x:font>
        <x:b/>
        <x:color rgb="FF17603A"/>
      </x:font>
      <x:fill>
        <x:patternFill patternType="solid">
          <x:bgColor rgb="FFDDF4E7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17603A"/>
      </x:font>
      <x:fill>
        <x:patternFill patternType="solid">
          <x:bgColor rgb="FFDDF4E7"/>
        </x:patternFill>
      </x:fill>
    </x:dxf>
    <x:dxf>
      <x:font>
        <x:b/>
        <x:color rgb="FF17603A"/>
      </x:font>
      <x:fill>
        <x:patternFill patternType="solid">
          <x:bgColor rgb="FFDDF4E7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8A5A00"/>
      </x:font>
      <x:fill>
        <x:patternFill patternType="solid">
          <x:bgColor rgb="FFFFF1C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a0c7dbeb01433e" /><Relationship Type="http://schemas.openxmlformats.org/officeDocument/2006/relationships/theme" Target="/xl/theme/theme1.xml" Id="R543e037b3b854836" /><Relationship Type="http://schemas.openxmlformats.org/officeDocument/2006/relationships/sharedStrings" Target="/xl/sharedStrings.xml" Id="Rac416d45168f4fef" /><Relationship Type="http://schemas.openxmlformats.org/officeDocument/2006/relationships/worksheet" Target="/xl/worksheets/sheet1.xml" Id="Rb3e2c9fb0dfc483d" /><Relationship Type="http://schemas.openxmlformats.org/officeDocument/2006/relationships/worksheet" Target="/xl/worksheets/sheet2.xml" Id="R30a6dcc58d65417d" /><Relationship Type="http://schemas.openxmlformats.org/officeDocument/2006/relationships/worksheet" Target="/xl/worksheets/sheet3.xml" Id="Raea4fdf92a2a4c6d" /><Relationship Type="http://schemas.openxmlformats.org/officeDocument/2006/relationships/worksheet" Target="/xl/worksheets/sheet4.xml" Id="R14a80edd17e742d5" /><Relationship Type="http://schemas.openxmlformats.org/officeDocument/2006/relationships/worksheet" Target="/xl/worksheets/sheet5.xml" Id="R4bafa9bd7ba24bf2" /><Relationship Type="http://schemas.openxmlformats.org/officeDocument/2006/relationships/worksheet" Target="/xl/worksheets/sheet6.xml" Id="R24b391890c13483e" /><Relationship Type="http://schemas.openxmlformats.org/officeDocument/2006/relationships/worksheet" Target="/xl/worksheets/sheet7.xml" Id="R738a3b825d4e486a" /><Relationship Type="http://schemas.openxmlformats.org/officeDocument/2006/relationships/worksheet" Target="/xl/worksheets/sheet8.xml" Id="Rfeeea91f29534c50" /><Relationship Type="http://schemas.openxmlformats.org/officeDocument/2006/relationships/worksheet" Target="/xl/worksheets/sheet9.xml" Id="Rceaecd4432074546" /><Relationship Type="http://schemas.openxmlformats.org/officeDocument/2006/relationships/worksheet" Target="/xl/worksheets/sheet10.xml" Id="R95ee95704dbd4caa" /><Relationship Type="http://schemas.openxmlformats.org/officeDocument/2006/relationships/worksheet" Target="/xl/worksheets/sheet11.xml" Id="R52968a45e22a42c7" /><Relationship Type="http://schemas.microsoft.com/office/2017/10/relationships/person" Target="/xl/persons/person.xml" Id="R08ab09ac4f554b84" /></Relationships>
</file>

<file path=xl/persons/person.xml><?xml version="1.0" encoding="utf-8"?>
<xltc:personList xmlns:xltc="http://schemas.microsoft.com/office/spreadsheetml/2018/threadedcomments">
  <xltc:person displayName="Eva Willems" id="{9EEEB835-7E57-4AC8-B786-0A0817A98B1C}"/>
</xltc:personList>
</file>

<file path=xl/tables/table1.xml><?xml version="1.0" encoding="utf-8"?>
<x:table xmlns:x="http://schemas.openxmlformats.org/spreadsheetml/2006/main" id="1" name="KandidatenTable" displayName="KandidatenTable" ref="A4:J12" headerRowCount="1" totalsRowCount="0" totalsRowShown="0">
  <x:autoFilter ref="A4:J12"/>
  <x:tableColumns count="10">
    <x:tableColumn id="1" name="Kandidaat-ID"/>
    <x:tableColumn id="2" name="Type"/>
    <x:tableColumn id="3" name="Korte naam"/>
    <x:tableColumn id="4" name="Provider / model / component"/>
    <x:tableColumn id="5" name="Versie"/>
    <x:tableColumn id="6" name="Deployment / regio"/>
    <x:tableColumn id="7" name="Instellingen, tools, RAG, agents"/>
    <x:tableColumn id="8" name="Testdatum"/>
    <x:tableColumn id="9" name="Fingerprint / build"/>
    <x:tableColumn id="10" name="Notiti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ort1Table" displayName="Poort1Table" ref="A4:M12" headerRowCount="1" totalsRowCount="0" totalsRowShown="0">
  <x:autoFilter ref="A4:M12"/>
  <x:tableColumns count="13">
    <x:tableColumn id="1" name="Kandidaat-ID"/>
    <x:tableColumn id="2" name="Naam"/>
    <x:tableColumn id="3" name="Wet / verboden / sector"/>
    <x:tableColumn id="4" name="Privacy / data"/>
    <x:tableColumn id="5" name="Security / vertrouwelijkheid"/>
    <x:tableColumn id="6" name="Rechten / inclusie / toegankelijkheid"/>
    <x:tableColumn id="7" name="Menselijke verantwoordelijkheid / transparantie"/>
    <x:tableColumn id="8" name="Provider / IP / contract"/>
    <x:tableColumn id="9" name="Logging / incident / corrigeerbaarheid"/>
    <x:tableColumn id="10" name="Continuïteit / exit / goedgekeurde omgeving"/>
    <x:tableColumn id="11" name="Bewijs-ID's / bronnen"/>
    <x:tableColumn id="12" name="Voorwaarden of N.v.t.-motivering"/>
    <x:tableColumn id="13" name="Poort 1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ceptatieTable" displayName="AcceptatieTable" ref="A14:F20" headerRowCount="1" totalsRowCount="0" totalsRowShown="0">
  <x:autoFilter ref="A14:F20"/>
  <x:tableColumns count="6">
    <x:tableColumn id="1" name="Criterium-ID"/>
    <x:tableColumn id="2" name="Criterium"/>
    <x:tableColumn id="3" name="Hoe beoordeeld?"/>
    <x:tableColumn id="4" name="Minimum / regel"/>
    <x:tableColumn id="5" name="Critical bij schending?"/>
    <x:tableColumn id="6" name="Bewijs / toelichti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rataTable" displayName="StrataTable" ref="A24:F34" headerRowCount="1" totalsRowCount="0" totalsRowShown="0">
  <x:autoFilter ref="A24:F34"/>
  <x:tableColumns count="6">
    <x:tableColumn id="1" name="Stratum-ID"/>
    <x:tableColumn id="2" name="Groep / situatie"/>
    <x:tableColumn id="3" name="Waarom relevant?"/>
    <x:tableColumn id="4" name="Doel-n per kandidaat"/>
    <x:tableColumn id="5" name="Verplicht?"/>
    <x:tableColumn id="6" name="Dekkingsnotiti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estcasesTable" displayName="TestcasesTable" ref="A5:V25" headerRowCount="1" totalsRowCount="0" totalsRowShown="0">
  <x:autoFilter ref="A5:V25"/>
  <x:tableColumns count="22">
    <x:tableColumn id="1" name="Run_ID"/>
    <x:tableColumn id="2" name="Candidate_ID"/>
    <x:tableColumn id="3" name="Test_Case_ID"/>
    <x:tableColumn id="4" name="Stratum_ID"/>
    <x:tableColumn id="5" name="Final_Accepted_1_0"/>
    <x:tableColumn id="6" name="Any_Critical_Error_1_0"/>
    <x:tableColumn id="7" name="Quality_score_optional"/>
    <x:tableColumn id="8" name="Model_calls_total"/>
    <x:tableColumn id="9" name="Retries_total"/>
    <x:tableColumn id="10" name="Verify_min_total"/>
    <x:tableColumn id="11" name="Correct_recover_min_total"/>
    <x:tableColumn id="12" name="Latency_sec_total"/>
    <x:tableColumn id="13" name="Direct_cost_EUR_total"/>
    <x:tableColumn id="14" name="Input_tokens_total"/>
    <x:tableColumn id="15" name="Output_tokens_total"/>
    <x:tableColumn id="16" name="Reasoning_tokens_total"/>
    <x:tableColumn id="17" name="Energy_kWh_total"/>
    <x:tableColumn id="18" name="Carbon_gCO2e_total"/>
    <x:tableColumn id="19" name="Water_L_total"/>
    <x:tableColumn id="20" name="Evidence_ID"/>
    <x:tableColumn id="21" name="Notes"/>
    <x:tableColumn id="22" name="Rijcontro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8" name="Poort2Table" displayName="Poort2Table" ref="A4:Q12" headerRowCount="1" totalsRowCount="0" totalsRowShown="0">
  <x:autoFilter ref="A4:Q12"/>
  <x:tableColumns count="17">
    <x:tableColumn id="1" name="Kandidaat-ID"/>
    <x:tableColumn id="2" name="Naam"/>
    <x:tableColumn id="3" name="Poort 1"/>
    <x:tableColumn id="4" name="Rijen ingevoerd"/>
    <x:tableColumn id="5" name="Complete taken"/>
    <x:tableColumn id="6" name="Incomplete velden"/>
    <x:tableColumn id="7" name="Geaccepteerd"/>
    <x:tableColumn id="8" name="Succes"/>
    <x:tableColumn id="9" name="Wilson LCB"/>
    <x:tableColumn id="10" name="Critical errors"/>
    <x:tableColumn id="11" name="Critical rate"/>
    <x:tableColumn id="12" name="Wilson UCB"/>
    <x:tableColumn id="13" name="Bewijsbodem n"/>
    <x:tableColumn id="14" name="Dekking compleet?"/>
    <x:tableColumn id="15" name="Rubric betrouwbaar?"/>
    <x:tableColumn id="16" name="Poort 2"/>
    <x:tableColumn id="17" name="Uitleg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9" name="LastenTable" displayName="LastenTable" ref="A17:N25" headerRowCount="1" totalsRowCount="0" totalsRowShown="0">
  <x:autoFilter ref="A17:N25"/>
  <x:tableColumns count="14">
    <x:tableColumn id="1" name="Kandidaat-ID"/>
    <x:tableColumn id="2" name="Naam"/>
    <x:tableColumn id="3" name="EUR / geaccepteerd"/>
    <x:tableColumn id="4" name="Mensmin / geaccepteerd"/>
    <x:tableColumn id="5" name="Sec / geaccepteerd"/>
    <x:tableColumn id="6" name="Retries / geaccepteerd"/>
    <x:tableColumn id="7" name="kWh / geaccepteerd"/>
    <x:tableColumn id="8" name="gCO2e / geaccepteerd"/>
    <x:tableColumn id="9" name="Water L / geaccepteerd"/>
    <x:tableColumn id="10" name="Kosten compleet"/>
    <x:tableColumn id="11" name="Mens compleet"/>
    <x:tableColumn id="12" name="Latentie compleet"/>
    <x:tableColumn id="13" name="Milieubewijs"/>
    <x:tableColumn id="14" name="Numeriek bewij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6" name="MilieubewijsTable" displayName="MilieubewijsTable" ref="A4:Q12" headerRowCount="1" totalsRowCount="0" totalsRowShown="0">
  <x:autoFilter ref="A4:Q12"/>
  <x:tableColumns count="17">
    <x:tableColumn id="1" name="Kandidaat-ID"/>
    <x:tableColumn id="2" name="Naam"/>
    <x:tableColumn id="3" name="Taken"/>
    <x:tableColumn id="4" name="Geaccepteerd"/>
    <x:tableColumn id="5" name="Energie totaal kWh"/>
    <x:tableColumn id="6" name="kWh / geaccepteerd"/>
    <x:tableColumn id="7" name="CO2e totaal g"/>
    <x:tableColumn id="8" name="gCO2e / geaccepteerd"/>
    <x:tableColumn id="9" name="Water totaal L"/>
    <x:tableColumn id="10" name="L / geaccepteerd"/>
    <x:tableColumn id="11" name="Systeemgrens"/>
    <x:tableColumn id="12" name="Methode"/>
    <x:tableColumn id="13" name="Bewijsgraad"/>
    <x:tableColumn id="14" name="Vergelijkbaar?"/>
    <x:tableColumn id="15" name="Embodied inbegrepen?"/>
    <x:tableColumn id="16" name="Bewijs-ID"/>
    <x:tableColumn id="17" name="Milieubewij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7" name="BewijsregisterTable" displayName="BewijsregisterTable" ref="A17:H37" headerRowCount="1" totalsRowCount="0" totalsRowShown="0">
  <x:autoFilter ref="A17:H37"/>
  <x:tableColumns count="8">
    <x:tableColumn id="1" name="Bewijs-ID"/>
    <x:tableColumn id="2" name="Type"/>
    <x:tableColumn id="3" name="Bron / document"/>
    <x:tableColumn id="4" name="Eigenaar"/>
    <x:tableColumn id="5" name="Datum"/>
    <x:tableColumn id="6" name="Graad"/>
    <x:tableColumn id="7" name="Beperkingen"/>
    <x:tableColumn id="8" name="Link / locati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VergelijkingTable" displayName="VergelijkingTable" ref="A4:S12" headerRowCount="1" totalsRowCount="0" totalsRowShown="0">
  <x:autoFilter ref="A4:S12"/>
  <x:tableColumns count="19">
    <x:tableColumn id="1" name="Kandidaat-ID"/>
    <x:tableColumn id="2" name="Naam"/>
    <x:tableColumn id="3" name="Poort 1"/>
    <x:tableColumn id="4" name="Poort 2"/>
    <x:tableColumn id="5" name="Succes LCB"/>
    <x:tableColumn id="6" name="Critical UCB"/>
    <x:tableColumn id="7" name="EUR / geaccepteerd"/>
    <x:tableColumn id="8" name="Mensmin / geaccepteerd"/>
    <x:tableColumn id="9" name="Sec / geaccepteerd"/>
    <x:tableColumn id="10" name="Retries / geaccepteerd"/>
    <x:tableColumn id="11" name="kWh / geaccepteerd"/>
    <x:tableColumn id="12" name="gCO2e / geaccepteerd"/>
    <x:tableColumn id="13" name="Water L / geaccepteerd"/>
    <x:tableColumn id="14" name="Milieubewijs"/>
    <x:tableColumn id="15" name="Numeriek bewijs"/>
    <x:tableColumn id="16" name="Frontierstatus"/>
    <x:tableColumn id="17" name="Proportionaliteit"/>
    <x:tableColumn id="18" name="Kernmotivering"/>
    <x:tableColumn id="19" name="Contextbewijs compleet?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ValidatieChecklistTable" displayName="ValidatieChecklistTable" ref="A4:H19" headerRowCount="1" totalsRowCount="0" totalsRowShown="0">
  <x:autoFilter ref="A4:H19"/>
  <x:tableColumns count="8">
    <x:tableColumn id="1" name="Controle"/>
    <x:tableColumn id="2" name="R1"/>
    <x:tableColumn id="3" name="R2"/>
    <x:tableColumn id="4" name="R3"/>
    <x:tableColumn id="5" name="R4"/>
    <x:tableColumn id="6" name="Gereed?"/>
    <x:tableColumn id="7" name="Bewijs / notitie"/>
    <x:tableColumn id="8" name="Eigena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37" dT="2026-09-04T10:40:27.752" personId="{9EEEB835-7E57-4AC8-B786-0A0817A98B1C}" id="{0C396380-8F0F-4E16-8364-0E3D02CC7EEE}">
    <xltc:text>De effectieve bewijsbodem voorkomt schijnzekerheid. Met de standaard 2%-grens en nul critical errors is n=189 nodig voordat de Wilson-bovengrens de grens bereikt.</xltc:text>
  </xltc:threadedComment>
  <xltc:threadedComment ref="B27" dT="2026-09-04T10:40:27.753" personId="{9EEEB835-7E57-4AC8-B786-0A0817A98B1C}" id="{4870A7CF-38E4-4EC1-BA0C-9A54873A9967}">
    <xltc:text>Bevestig de aanbevolen route of motiveer expliciet waarom je afwijkt.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M5" dT="2026-09-04T10:40:27.859" personId="{9EEEB835-7E57-4AC8-B786-0A0817A98B1C}" id="{09FA17DE-A15F-4184-948B-BD53AC9FCE22}">
    <xltc:text>Poort 1 is hard: een FAIL kan niet worden gecompenseerd door betere prestaties of lagere kosten.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8" dT="2026-09-04T10:40:27.876" personId="{9EEEB835-7E57-4AC8-B786-0A0817A98B1C}" id="{6046565B-F547-47B7-8816-B7656EF278BE}">
    <xltc:text>De functionele eenheid voorkomt dat een goedkope mislukte poging gunstiger lijkt dan een duurdere maar geaccepteerde taakuitkomst.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E5" dT="2026-09-04T10:40:28.043" personId="{9EEEB835-7E57-4AC8-B786-0A0817A98B1C}" id="{ECE92E0C-F6F8-44DF-BA6F-3921B3CED122}">
    <xltc:text>Gebruik het finale geaccepteerde taakresultaat (1/0), niet elke poging als afzonderlijke testcase.</xltc:text>
  </xltc:threadedComment>
  <xltc:threadedComment ref="F5" dT="2026-09-04T10:40:28.043" personId="{9EEEB835-7E57-4AC8-B786-0A0817A98B1C}" id="{0DB6D64F-6D78-4C46-886D-F5AA634E9CC0}">
    <xltc:text>Als in enige poging een critical error optrad, noteer 1. Retries mogen critical errors niet verdunnen.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P5" dT="2026-09-04T10:40:28.888" personId="{9EEEB835-7E57-4AC8-B786-0A0817A98B1C}" id="{D46D9186-BFB4-4AE2-917F-C398D7EAC767}">
    <xltc:text>Een kandidaat krijgt pas PASS als zowel de puntschattingen als de Wilson-grenzen en de ontwerpcontroles voldoen.</xltc:text>
  </xltc:threadedComment>
</xltc:ThreadedComments>
</file>

<file path=xl/threadedcomments/threadedcomment6.xml><?xml version="1.0" encoding="utf-8"?>
<xltc:ThreadedComments xmlns:xltc="http://schemas.microsoft.com/office/spreadsheetml/2018/threadedcomments">
  <xltc:threadedComment ref="Q5" dT="2026-09-04T10:40:29.008" personId="{9EEEB835-7E57-4AC8-B786-0A0817A98B1C}" id="{CD2CCA4F-A686-48E8-9F46-AB9C4A196537}">
    <xltc:text>PAM-AI gebruikt bewust geen gewogen totaalscore. De proportionaliteitsconclusie blijft een gemotiveerd, controleerbaar oordeel.</xltc:text>
  </xltc:threadedComment>
</xltc:ThreadedComments>
</file>

<file path=xl/threadedcomments/threadedcomment7.xml><?xml version="1.0" encoding="utf-8"?>
<xltc:ThreadedComments xmlns:xltc="http://schemas.microsoft.com/office/spreadsheetml/2018/threadedcomments">
  <xltc:threadedComment ref="B46" dT="2026-09-04T10:40:29.052" personId="{9EEEB835-7E57-4AC8-B786-0A0817A98B1C}" id="{895A340E-1796-423E-A592-29757B7633FB}">
    <xltc:text>De status bewaakt het verschil tussen een begrensde pilot en een volledig proportionaliteitsbesluit.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d4479e15fccf4ce3" /><Relationship Type="http://schemas.openxmlformats.org/officeDocument/2006/relationships/vmlDrawing" Target="/xl/drawings/vmldrawing.vml" Id="R2164c79bdc3c4659" /><Relationship Type="http://schemas.microsoft.com/office/2017/10/relationships/threadedComment" Target="/xl/threadedcomments/threadedcomment.xml" Id="R7cf20b7a502542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9e70481be2141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be43498f66f24c91" /><Relationship Type="http://schemas.openxmlformats.org/officeDocument/2006/relationships/vmlDrawing" Target="/xl/drawings/vmldrawing2.vml" Id="R69215b067b5e460e" /><Relationship Type="http://schemas.microsoft.com/office/2017/10/relationships/threadedComment" Target="/xl/threadedcomments/threadedcomment2.xml" Id="R3905f65e47c34e29" /><Relationship Type="http://schemas.openxmlformats.org/officeDocument/2006/relationships/table" Target="/xl/tables/table2.xml" Id="R8587d1730e1645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72845a23fbcf44cf" /><Relationship Type="http://schemas.openxmlformats.org/officeDocument/2006/relationships/vmlDrawing" Target="/xl/drawings/vmldrawing3.vml" Id="Rc543254219094744" /><Relationship Type="http://schemas.microsoft.com/office/2017/10/relationships/threadedComment" Target="/xl/threadedcomments/threadedcomment3.xml" Id="Rb99470464b684150" /><Relationship Type="http://schemas.openxmlformats.org/officeDocument/2006/relationships/table" Target="/xl/tables/table3.xml" Id="Rb83ffb18afeb4c5c" /><Relationship Type="http://schemas.openxmlformats.org/officeDocument/2006/relationships/table" Target="/xl/tables/table4.xml" Id="R7b8b382ea93b42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4.xml" Id="Ra670402b84e54e47" /><Relationship Type="http://schemas.openxmlformats.org/officeDocument/2006/relationships/vmlDrawing" Target="/xl/drawings/vmldrawing4.vml" Id="Rba45b6af1970417a" /><Relationship Type="http://schemas.microsoft.com/office/2017/10/relationships/threadedComment" Target="/xl/threadedcomments/threadedcomment4.xml" Id="Rd915ad73f96348f6" /><Relationship Type="http://schemas.openxmlformats.org/officeDocument/2006/relationships/table" Target="/xl/tables/table5.xml" Id="R1a913bbc230a4c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5.xml" Id="R58881e5b39ac4c94" /><Relationship Type="http://schemas.openxmlformats.org/officeDocument/2006/relationships/vmlDrawing" Target="/xl/drawings/vmldrawing5.vml" Id="Rbb82fb26659d43a0" /><Relationship Type="http://schemas.microsoft.com/office/2017/10/relationships/threadedComment" Target="/xl/threadedcomments/threadedcomment5.xml" Id="Rcfe5f7deb84d4f86" /><Relationship Type="http://schemas.openxmlformats.org/officeDocument/2006/relationships/table" Target="/xl/tables/table6.xml" Id="R6d95349ce2d34049" /><Relationship Type="http://schemas.openxmlformats.org/officeDocument/2006/relationships/table" Target="/xl/tables/table7.xml" Id="Rcb3323d8f00940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e67719ed25a4397" /><Relationship Type="http://schemas.openxmlformats.org/officeDocument/2006/relationships/table" Target="/xl/tables/table9.xml" Id="R49079b9a9f764a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6.xml" Id="Rba67c96c4621451a" /><Relationship Type="http://schemas.openxmlformats.org/officeDocument/2006/relationships/vmlDrawing" Target="/xl/drawings/vmldrawing6.vml" Id="Rd4bbecaf55e24c42" /><Relationship Type="http://schemas.microsoft.com/office/2017/10/relationships/threadedComment" Target="/xl/threadedcomments/threadedcomment6.xml" Id="R17863ef9cf2d4bde" /><Relationship Type="http://schemas.openxmlformats.org/officeDocument/2006/relationships/table" Target="/xl/tables/table10.xml" Id="R7b2cf78d951847a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7.xml" Id="R862d6426c6d14b02" /><Relationship Type="http://schemas.openxmlformats.org/officeDocument/2006/relationships/vmlDrawing" Target="/xl/drawings/vmldrawing7.vml" Id="Rfedb9ce4cf184a5e" /><Relationship Type="http://schemas.microsoft.com/office/2017/10/relationships/threadedComment" Target="/xl/threadedcomments/threadedcomment7.xml" Id="R78218d9aaf1341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9b8f8b652794b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29" hidden="0" customWidth="1"/>
    <x:col min="4" max="4" width="34" hidden="0" customWidth="1"/>
    <x:col min="5" max="5" width="25" hidden="0" customWidth="1"/>
    <x:col min="6" max="6" width="22" hidden="0" customWidth="1"/>
    <x:col min="7" max="7" width="25" hidden="0" customWidth="1"/>
    <x:col min="8" max="8" width="31" hidden="0" customWidth="1"/>
  </x:cols>
  <x:sheetData>
    <x:row r="1" ht="31" customHeight="1">
      <x:c r="A1" s="149" t="str">
        <x:v>PAM-AI v1.1 — Praktijkinstrument</x:v>
      </x:c>
      <x:c r="B1" s="149"/>
      <x:c r="C1" s="149"/>
      <x:c r="D1" s="149"/>
      <x:c r="E1" s="149"/>
      <x:c r="F1" s="149"/>
      <x:c r="G1" s="149"/>
      <x:c r="H1" s="149"/>
    </x:row>
    <x:row r="2" ht="31" customHeight="1">
      <x:c r="A2" s="150" t="str">
        <x:v>Proportionaliteitsafweging bij AI-keuzes · E.C.M. Willems · 4 september 2026</x:v>
      </x:c>
      <x:c r="B2" s="150"/>
      <x:c r="C2" s="150"/>
      <x:c r="D2" s="150"/>
      <x:c r="E2" s="150"/>
      <x:c r="F2" s="150"/>
      <x:c r="G2" s="150"/>
      <x:c r="H2" s="150"/>
    </x:row>
    <x:row r="3">
      <x:c r="A3" s="151"/>
      <x:c r="B3" s="151"/>
      <x:c r="C3" s="151"/>
      <x:c r="D3" s="151"/>
      <x:c r="E3" s="151"/>
      <x:c r="F3" s="151"/>
      <x:c r="G3" s="151"/>
      <x:c r="H3" s="151"/>
    </x:row>
    <x:row r="4">
      <x:c r="A4" s="152" t="str">
        <x:v>Kernregel: kies niet automatisch het krachtigste AI-systeem. Kies de minst belastende oplossing die het legitieme doel aantoonbaar en voldoende betrouwbaar bereikt — inclusief de optie géén AI.</x:v>
      </x:c>
      <x:c r="B4" s="153"/>
      <x:c r="C4" s="153"/>
      <x:c r="D4" s="153"/>
      <x:c r="E4" s="153"/>
      <x:c r="F4" s="153"/>
      <x:c r="G4" s="153"/>
      <x:c r="H4" s="154"/>
    </x:row>
    <x:row r="5">
      <x:c r="A5" s="155"/>
      <x:c r="B5" s="156"/>
      <x:c r="C5" s="156"/>
      <x:c r="D5" s="156"/>
      <x:c r="E5" s="156"/>
      <x:c r="F5" s="156"/>
      <x:c r="G5" s="156"/>
      <x:c r="H5" s="157"/>
    </x:row>
    <x:row r="6">
      <x:c r="A6" s="151"/>
      <x:c r="B6" s="151"/>
      <x:c r="C6" s="151"/>
      <x:c r="D6" s="151"/>
      <x:c r="E6" s="151"/>
      <x:c r="F6" s="151"/>
      <x:c r="G6" s="151"/>
      <x:c r="H6" s="151"/>
    </x:row>
    <x:row r="7">
      <x:c r="A7" s="158" t="str">
        <x:v>Begin hier — kies de bewijslast die past bij de gevolgen</x:v>
      </x:c>
      <x:c r="B7" s="158"/>
      <x:c r="C7" s="158"/>
      <x:c r="D7" s="158"/>
      <x:c r="E7" s="158"/>
      <x:c r="F7" s="158"/>
      <x:c r="G7" s="158"/>
      <x:c r="H7" s="158"/>
    </x:row>
    <x:row r="8">
      <x:c r="A8" s="151"/>
      <x:c r="B8" s="151"/>
      <x:c r="C8" s="151"/>
      <x:c r="D8" s="151"/>
      <x:c r="E8" s="151"/>
      <x:c r="F8" s="151"/>
      <x:c r="G8" s="151"/>
      <x:c r="H8" s="151"/>
    </x:row>
    <x:row r="9" ht="54" customHeight="1">
      <x:c r="A9" s="159" t="str">
        <x:v>Route</x:v>
      </x:c>
      <x:c r="B9" s="159" t="str">
        <x:v>Gebruik</x:v>
      </x:c>
      <x:c r="C9" s="159" t="str">
        <x:v>Kernvraag</x:v>
      </x:c>
      <x:c r="D9" s="159" t="str">
        <x:v>Minimaal nodig</x:v>
      </x:c>
      <x:c r="E9" s="159" t="str">
        <x:v>Uitkomst</x:v>
      </x:c>
      <x:c r="F9" s="159" t="str">
        <x:v>Indicatieve voorbereiding*</x:v>
      </x:c>
      <x:c r="G9" s="159" t="str">
        <x:v>Extra toetsing</x:v>
      </x:c>
      <x:c r="H9" s="159" t="str">
        <x:v>Niet gebruiken als</x:v>
      </x:c>
    </x:row>
    <x:row r="10" ht="54" customHeight="1">
      <x:c r="A10" s="40" t="str">
        <x:v>R1</x:v>
      </x:c>
      <x:c r="B10" s="36" t="str">
        <x:v>Verkenning / kleine gecontroleerde pilot</x:v>
      </x:c>
      <x:c r="C10" s="36" t="str">
        <x:v>Is dit kansrijk en verantwoord genoeg om begrensd te testen?</x:v>
      </x:c>
      <x:c r="D10" s="36" t="str">
        <x:v>Doel + baseline; concrete configuratie; Poort 1; heldere acceptatie/critical error; relevante testcases; expliciete beperkingen</x:v>
      </x:c>
      <x:c r="E10" s="36" t="str">
        <x:v>PILOT-READY / PILOT WITH CONDITIONS / HOLD</x:v>
      </x:c>
      <x:c r="F10" s="36" t="str">
        <x:v>20–30 min excl. testen</x:v>
      </x:c>
      <x:c r="G10" s="36" t="str">
        <x:v>Geen onafhankelijke review vereist</x:v>
      </x:c>
      <x:c r="H10" s="36" t="str">
        <x:v>Organisatiebrede invoering of besluit met grote gevolgen</x:v>
      </x:c>
    </x:row>
    <x:row r="11" ht="54" customHeight="1">
      <x:c r="A11" s="40" t="str">
        <x:v>R2</x:v>
      </x:c>
      <x:c r="B11" s="36" t="str">
        <x:v>Standaard keuze</x:v>
      </x:c>
      <x:c r="C11" s="36" t="str">
        <x:v>Welke optie is passend en proportioneel voor deze taak?</x:v>
      </x:c>
      <x:c r="D11" s="36" t="str">
        <x:v>Volledige gates; representatieve dekking; kosten, mensinspanning en kritieke bewijsdimensies; vergelijking met baseline</x:v>
      </x:c>
      <x:c r="E11" s="36" t="str">
        <x:v>DECISION-READY / HOLD</x:v>
      </x:c>
      <x:c r="F11" s="36" t="str">
        <x:v>60–90 min excl. testen</x:v>
      </x:c>
      <x:c r="G11" s="36" t="str">
        <x:v>Collegiale review aanbevolen</x:v>
      </x:c>
      <x:c r="H11" s="36" t="str">
        <x:v>Hoog of kritiek effect</x:v>
      </x:c>
    </x:row>
    <x:row r="12" ht="54" customHeight="1">
      <x:c r="A12" s="40" t="str">
        <x:v>R3</x:v>
      </x:c>
      <x:c r="B12" s="36" t="str">
        <x:v>Hoge impact / grotere schaal</x:v>
      </x:c>
      <x:c r="C12" s="36" t="str">
        <x:v>Is de keuze verdedigbaar onder zwaardere gevolgen en afhankelijkheden?</x:v>
      </x:c>
      <x:c r="D12" s="36" t="str">
        <x:v>R2 + multidisciplinaire toets; sterkere bronnen; exit/corrigeerbaarheid; onafhankelijke reviewer</x:v>
      </x:c>
      <x:c r="E12" s="36" t="str">
        <x:v>DECISION-READY / HOLD</x:v>
      </x:c>
      <x:c r="F12" s="36" t="str">
        <x:v>Multidisciplinair traject</x:v>
      </x:c>
      <x:c r="G12" s="36" t="str">
        <x:v>Onafhankelijke review vereist</x:v>
      </x:c>
      <x:c r="H12" s="36" t="str">
        <x:v>Kritieke rechten- of veiligheidsimpact</x:v>
      </x:c>
    </x:row>
    <x:row r="13" ht="54" customHeight="1">
      <x:c r="A13" s="40" t="str">
        <x:v>R4</x:v>
      </x:c>
      <x:c r="B13" s="36" t="str">
        <x:v>Kritieke impact / formele plicht</x:v>
      </x:c>
      <x:c r="C13" s="36" t="str">
        <x:v>Mag en kan dit verantwoord worden ingezet?</x:v>
      </x:c>
      <x:c r="D13" s="36" t="str">
        <x:v>R3 + formele juridische, veiligheids- en sectorale beoordelingen waar nodig</x:v>
      </x:c>
      <x:c r="E13" s="36" t="str">
        <x:v>DECISION-READY / HOLD</x:v>
      </x:c>
      <x:c r="F13" s="36" t="str">
        <x:v>Formeel traject</x:v>
      </x:c>
      <x:c r="G13" s="36" t="str">
        <x:v>Onafhankelijke/formele toets</x:v>
      </x:c>
      <x:c r="H13" s="36" t="str">
        <x:v>Vervanging van DPIA, FRIA, security- of juridische beoordeling</x:v>
      </x:c>
    </x:row>
    <x:row r="14">
      <x:c r="A14" s="151"/>
      <x:c r="B14" s="151"/>
      <x:c r="C14" s="151"/>
      <x:c r="D14" s="151"/>
      <x:c r="E14" s="151"/>
      <x:c r="F14" s="151"/>
      <x:c r="G14" s="151"/>
      <x:c r="H14" s="151"/>
    </x:row>
    <x:row r="15">
      <x:c r="A15" s="160" t="str">
        <x:v>* Dit zijn gebruiksdoelen voor de validatie van v1.1, geen empirisch bewezen doorlooptijden.</x:v>
      </x:c>
      <x:c r="B15" s="160"/>
      <x:c r="C15" s="160"/>
      <x:c r="D15" s="160"/>
      <x:c r="E15" s="160"/>
      <x:c r="F15" s="160"/>
      <x:c r="G15" s="160"/>
      <x:c r="H15" s="160"/>
    </x:row>
    <x:row r="16">
      <x:c r="A16" s="151"/>
      <x:c r="B16" s="151"/>
      <x:c r="C16" s="151"/>
      <x:c r="D16" s="151"/>
      <x:c r="E16" s="151"/>
      <x:c r="F16" s="151"/>
      <x:c r="G16" s="151"/>
      <x:c r="H16" s="151"/>
    </x:row>
    <x:row r="17">
      <x:c r="A17" s="158" t="str">
        <x:v>Werkvolgorde</x:v>
      </x:c>
      <x:c r="B17" s="158"/>
      <x:c r="C17" s="158"/>
      <x:c r="D17" s="158"/>
      <x:c r="E17" s="158"/>
      <x:c r="F17" s="158"/>
      <x:c r="G17" s="158"/>
      <x:c r="H17" s="158"/>
    </x:row>
    <x:row r="18">
      <x:c r="A18" s="151"/>
      <x:c r="B18" s="151"/>
      <x:c r="C18" s="151"/>
      <x:c r="D18" s="151"/>
      <x:c r="E18" s="151"/>
      <x:c r="F18" s="151"/>
      <x:c r="G18" s="151"/>
      <x:c r="H18" s="151"/>
    </x:row>
    <x:row r="19">
      <x:c r="A19" s="48" t="str">
        <x:v>1</x:v>
      </x:c>
      <x:c r="B19" s="45" t="str">
        <x:v>Intake</x:v>
      </x:c>
      <x:c r="C19" s="45" t="str">
        <x:v>Leg doel, baseline, besluit en routeringsvragen vast.</x:v>
      </x:c>
      <x:c r="D19" s="48" t="str">
        <x:v>2</x:v>
      </x:c>
      <x:c r="E19" s="45" t="str">
        <x:v>Kandidaten + Poort 1</x:v>
      </x:c>
      <x:c r="F19" s="45" t="str">
        <x:v>Beschrijf configuraties en sluit ontoelaatbare opties uit.</x:v>
      </x:c>
      <x:c r="G19" s="45" t="str"/>
      <x:c r="H19" s="45" t="str"/>
    </x:row>
    <x:row r="20">
      <x:c r="A20" s="48" t="str">
        <x:v>3</x:v>
      </x:c>
      <x:c r="B20" s="45" t="str">
        <x:v>Testontwerp</x:v>
      </x:c>
      <x:c r="C20" s="45" t="str">
        <x:v>Definieer acceptatie, critical errors, dekking en retries.</x:v>
      </x:c>
      <x:c r="D20" s="48" t="str">
        <x:v>4</x:v>
      </x:c>
      <x:c r="E20" s="45" t="str">
        <x:v>Testcases</x:v>
      </x:c>
      <x:c r="F20" s="45" t="str">
        <x:v>Eén rij per kandidaat × testcase; tel alle pogingen mee.</x:v>
      </x:c>
      <x:c r="G20" s="45" t="str"/>
      <x:c r="H20" s="45" t="str"/>
    </x:row>
    <x:row r="21">
      <x:c r="A21" s="48" t="str">
        <x:v>5</x:v>
      </x:c>
      <x:c r="B21" s="45" t="str">
        <x:v>Analyse + bewijs</x:v>
      </x:c>
      <x:c r="C21" s="45" t="str">
        <x:v>Lees PASS, FAIL of MORE EVIDENCE; onbekend is nooit nul.</x:v>
      </x:c>
      <x:c r="D21" s="48" t="str">
        <x:v>6</x:v>
      </x:c>
      <x:c r="E21" s="45" t="str">
        <x:v>Vergelijking</x:v>
      </x:c>
      <x:c r="F21" s="45" t="str">
        <x:v>Vergelijk baseline en kandidaten zonder verborgen totaalscore.</x:v>
      </x:c>
      <x:c r="G21" s="45" t="str"/>
      <x:c r="H21" s="45" t="str"/>
    </x:row>
    <x:row r="22">
      <x:c r="A22" s="48" t="str">
        <x:v>7</x:v>
      </x:c>
      <x:c r="B22" s="45" t="str">
        <x:v>Besluit</x:v>
      </x:c>
      <x:c r="C22" s="45" t="str">
        <x:v>Leg scope, voorwaarden, eigenaar en herbeoordeling vast.</x:v>
      </x:c>
      <x:c r="D22" s="48" t="str">
        <x:v>8</x:v>
      </x:c>
      <x:c r="E22" s="45" t="str">
        <x:v>Validatie</x:v>
      </x:c>
      <x:c r="F22" s="45" t="str">
        <x:v>Controleer route-eisen en plan externe validatie.</x:v>
      </x:c>
      <x:c r="G22" s="45" t="str"/>
      <x:c r="H22" s="45" t="str"/>
    </x:row>
    <x:row r="23">
      <x:c r="A23" s="50" t="str">
        <x:v>Praktische tip</x:v>
      </x:c>
      <x:c r="B23" s="50" t="str"/>
      <x:c r="C23" s="52" t="str">
        <x:v>Begin met R1 als het echt om een begrensde verkenning gaat. Schaal pas op zodra gevolgen, schaal of mandaat toenemen.</x:v>
      </x:c>
      <x:c r="D23" s="52" t="str"/>
      <x:c r="E23" s="52" t="str"/>
      <x:c r="F23" s="52" t="str"/>
      <x:c r="G23" s="52" t="str"/>
      <x:c r="H23" s="52" t="str"/>
    </x:row>
    <x:row r="24">
      <x:c r="A24" s="151"/>
      <x:c r="B24" s="151"/>
      <x:c r="C24" s="151"/>
      <x:c r="D24" s="151"/>
      <x:c r="E24" s="151"/>
      <x:c r="F24" s="151"/>
      <x:c r="G24" s="151"/>
      <x:c r="H24" s="151"/>
    </x:row>
    <x:row r="25">
      <x:c r="A25" s="158" t="str">
        <x:v>Legenda</x:v>
      </x:c>
      <x:c r="B25" s="158"/>
      <x:c r="C25" s="158"/>
      <x:c r="D25" s="158"/>
      <x:c r="E25" s="158"/>
      <x:c r="F25" s="158"/>
      <x:c r="G25" s="158"/>
      <x:c r="H25" s="158"/>
    </x:row>
    <x:row r="26">
      <x:c r="A26" s="151"/>
      <x:c r="B26" s="151"/>
      <x:c r="C26" s="151"/>
      <x:c r="D26" s="151"/>
      <x:c r="E26" s="151"/>
      <x:c r="F26" s="151"/>
      <x:c r="G26" s="151"/>
      <x:c r="H26" s="151"/>
    </x:row>
    <x:row r="27">
      <x:c r="A27" s="161" t="str">
        <x:v>Geel</x:v>
      </x:c>
      <x:c r="B27" s="151" t="str">
        <x:v>Zelf invullen</x:v>
      </x:c>
      <x:c r="C27" s="162" t="str">
        <x:v>Blauw</x:v>
      </x:c>
      <x:c r="D27" s="151" t="str">
        <x:v>Automatisch berekend</x:v>
      </x:c>
      <x:c r="E27" s="163" t="str">
        <x:v>Groen</x:v>
      </x:c>
      <x:c r="F27" s="151" t="str">
        <x:v>Gereed / pass</x:v>
      </x:c>
      <x:c r="G27" s="164" t="str">
        <x:v>Oranje / rood</x:v>
      </x:c>
      <x:c r="H27" s="151" t="str">
        <x:v>Meer bewijs, voorwaarde, hold of fail</x:v>
      </x:c>
    </x:row>
    <x:row r="28">
      <x:c r="A28" s="151"/>
      <x:c r="B28" s="151"/>
      <x:c r="C28" s="151"/>
      <x:c r="D28" s="151"/>
      <x:c r="E28" s="151"/>
      <x:c r="F28" s="151"/>
      <x:c r="G28" s="151"/>
      <x:c r="H28" s="151"/>
    </x:row>
    <x:row r="29">
      <x:c r="A29" s="165" t="str">
        <x:v>Status v1.1: research-grade validatiekandidaat. PAM-AI structureert besluitvorming en bewijs; het vervangt geen toepasselijke wetgeving, DPIA/FRIA, informatiebeveiliging, aanbesteding of sectorspecifieke toets.</x:v>
      </x:c>
      <x:c r="B29" s="165"/>
      <x:c r="C29" s="165"/>
      <x:c r="D29" s="165"/>
      <x:c r="E29" s="165"/>
      <x:c r="F29" s="165"/>
      <x:c r="G29" s="165"/>
      <x:c r="H29" s="165"/>
    </x:row>
    <x:row r="30">
      <x:c r="A30" s="165"/>
      <x:c r="B30" s="165"/>
      <x:c r="C30" s="165"/>
      <x:c r="D30" s="165"/>
      <x:c r="E30" s="165"/>
      <x:c r="F30" s="165"/>
      <x:c r="G30" s="165"/>
      <x:c r="H30" s="165"/>
    </x:row>
  </x:sheetData>
  <x:mergeCells>
    <x:mergeCell ref="A1:H1"/>
    <x:mergeCell ref="A2:H2"/>
    <x:mergeCell ref="A4:H5"/>
    <x:mergeCell ref="A7:H7"/>
    <x:mergeCell ref="A15:H15"/>
    <x:mergeCell ref="A17:H17"/>
    <x:mergeCell ref="A23:B23"/>
    <x:mergeCell ref="C23:H23"/>
    <x:mergeCell ref="A25:H25"/>
    <x:mergeCell ref="A29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9" hidden="0" customWidth="1"/>
    <x:col min="3" max="3" width="3" hidden="0" customWidth="1"/>
    <x:col min="4" max="4" width="28" hidden="0" customWidth="1"/>
    <x:col min="5" max="5" width="27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1" customHeight="1">
      <x:c r="A1" s="149" t="str">
        <x:v>01 · Intake en route</x:v>
      </x:c>
      <x:c r="B1" s="149"/>
      <x:c r="C1" s="149"/>
      <x:c r="D1" s="149"/>
      <x:c r="E1" s="149"/>
      <x:c r="F1" s="149"/>
      <x:c r="G1" s="149"/>
      <x:c r="H1" s="149"/>
    </x:row>
    <x:row r="2" ht="31" customHeight="1">
      <x:c r="A2" s="150" t="str">
        <x:v>Leg eerst het besluit vast; de route bepaalt welke bewijslast passend is.</x:v>
      </x:c>
      <x:c r="B2" s="150"/>
      <x:c r="C2" s="150"/>
      <x:c r="D2" s="150"/>
      <x:c r="E2" s="150"/>
      <x:c r="F2" s="150"/>
      <x:c r="G2" s="150"/>
      <x:c r="H2" s="150"/>
    </x:row>
    <x:row r="3">
      <x:c r="A3" s="151"/>
      <x:c r="B3" s="151"/>
      <x:c r="C3" s="151"/>
      <x:c r="D3" s="151"/>
      <x:c r="E3" s="151"/>
      <x:c r="F3" s="151"/>
      <x:c r="G3" s="151"/>
      <x:c r="H3" s="151"/>
    </x:row>
    <x:row r="4">
      <x:c r="A4" s="158" t="str">
        <x:v>Taak en besluit</x:v>
      </x:c>
      <x:c r="B4" s="158"/>
      <x:c r="C4" s="151"/>
      <x:c r="D4" s="158" t="str">
        <x:v>Routekaart voor deze casus</x:v>
      </x:c>
      <x:c r="E4" s="158"/>
      <x:c r="F4" s="158"/>
      <x:c r="G4" s="158"/>
      <x:c r="H4" s="158"/>
    </x:row>
    <x:row r="5">
      <x:c r="A5" s="151"/>
      <x:c r="B5" s="151"/>
      <x:c r="C5" s="151"/>
      <x:c r="D5" s="151"/>
      <x:c r="E5" s="151"/>
      <x:c r="F5" s="151"/>
      <x:c r="G5" s="151"/>
      <x:c r="H5" s="151"/>
    </x:row>
    <x:row r="6">
      <x:c r="A6" s="63" t="str">
        <x:v>Taak-ID</x:v>
      </x:c>
      <x:c r="B6" s="66"/>
      <x:c r="C6" s="151"/>
      <x:c r="D6" s="63" t="str">
        <x:v>Actieve route</x:v>
      </x:c>
      <x:c r="E6" s="70" t="str">
        <x:f>IF(B27&lt;&gt;"",B27,B26)</x:f>
        <x:v>VUL ROUTEVRAGEN IN</x:v>
      </x:c>
      <x:c r="F6" s="70"/>
      <x:c r="G6" s="70"/>
      <x:c r="H6" s="70"/>
    </x:row>
    <x:row r="7" ht="34" customHeight="1">
      <x:c r="A7" s="63" t="str">
        <x:v>Taak / proces</x:v>
      </x:c>
      <x:c r="B7" s="66"/>
      <x:c r="C7" s="151"/>
      <x:c r="D7" s="63" t="str">
        <x:v>Doel van de route</x:v>
      </x:c>
      <x:c r="E7" s="70" t="str">
        <x:f>IF(E6="R1","Begrensd leren en beslissen over een pilot",IF(E6="R2","Volledige proportionele keuze voor standaardinzet",IF(E6="R3","Zwaarder besluit met multidisciplinaire toets",IF(E6="R4","Kritiek/formeel besluit met aanvullende beoordelingen","Vul de routevragen in"))))</x:f>
        <x:v>Vul de routevragen in</x:v>
      </x:c>
      <x:c r="F7" s="70"/>
      <x:c r="G7" s="70"/>
      <x:c r="H7" s="70"/>
    </x:row>
    <x:row r="8" ht="34" customHeight="1">
      <x:c r="A8" s="63" t="str">
        <x:v>Legitiem doel</x:v>
      </x:c>
      <x:c r="B8" s="66"/>
      <x:c r="C8" s="151"/>
      <x:c r="D8" s="63" t="str">
        <x:v>Zelfstandig besluit mogelijk?</x:v>
      </x:c>
      <x:c r="E8" s="70" t="str">
        <x:f>IF(E6="R1","Alleen pilot/verkenning",IF(OR(E6="R2",E6="R3",E6="R4"),"Ja, mits alle toepasselijke eisen gereed zijn",""))</x:f>
      </x:c>
      <x:c r="F8" s="70"/>
      <x:c r="G8" s="70"/>
      <x:c r="H8" s="70"/>
    </x:row>
    <x:row r="9" ht="34" customHeight="1">
      <x:c r="A9" s="63" t="str">
        <x:v>Beoogd gebruik</x:v>
      </x:c>
      <x:c r="B9" s="66"/>
      <x:c r="C9" s="151"/>
      <x:c r="D9" s="63" t="str">
        <x:v>Onafhankelijke reviewer?</x:v>
      </x:c>
      <x:c r="E9" s="70" t="str">
        <x:f>IF(OR(E6="R3",E6="R4"),"Vereist",IF(E6="R2","Aanbevolen","Niet vereist"))</x:f>
        <x:v>Niet vereist</x:v>
      </x:c>
      <x:c r="F9" s="70"/>
      <x:c r="G9" s="70"/>
      <x:c r="H9" s="70"/>
    </x:row>
    <x:row r="10" ht="34" customHeight="1">
      <x:c r="A10" s="63" t="str">
        <x:v>Gebruikers en geraakten</x:v>
      </x:c>
      <x:c r="B10" s="66"/>
      <x:c r="C10" s="151"/>
      <x:c r="D10" s="63" t="str">
        <x:v>Formele aanvullende toets?</x:v>
      </x:c>
      <x:c r="E10" s="70" t="str">
        <x:f>IF(E6="R4","Ja, buiten PAM-AI waar nodig",IF(E6="R3","Mogelijk, afhankelijk van context","Niet standaard"))</x:f>
        <x:v>Niet standaard</x:v>
      </x:c>
      <x:c r="F10" s="70"/>
      <x:c r="G10" s="70"/>
      <x:c r="H10" s="70"/>
    </x:row>
    <x:row r="11" ht="34" customHeight="1">
      <x:c r="A11" s="63" t="str">
        <x:v>Huidige niet-AI-baseline</x:v>
      </x:c>
      <x:c r="B11" s="66"/>
      <x:c r="C11" s="151"/>
      <x:c r="D11" s="63" t="str">
        <x:v>Belangrijk</x:v>
      </x:c>
      <x:c r="E11" s="122" t="str">
        <x:v>Een lagere route verlaagt de voorbereidingslast, niet de zorgplicht.</x:v>
      </x:c>
      <x:c r="F11" s="122"/>
      <x:c r="G11" s="122"/>
      <x:c r="H11" s="122"/>
    </x:row>
    <x:row r="12" ht="34" customHeight="1">
      <x:c r="A12" s="63" t="str">
        <x:v>Waarom AI overwegen?</x:v>
      </x:c>
      <x:c r="B12" s="66"/>
      <x:c r="C12" s="151"/>
      <x:c r="D12" s="151"/>
      <x:c r="E12" s="151"/>
      <x:c r="F12" s="151"/>
      <x:c r="G12" s="151"/>
      <x:c r="H12" s="151"/>
    </x:row>
    <x:row r="13" ht="34" customHeight="1">
      <x:c r="A13" s="63" t="str">
        <x:v>Besluiteigenaar</x:v>
      </x:c>
      <x:c r="B13" s="66"/>
      <x:c r="C13" s="151"/>
      <x:c r="D13" s="96" t="str">
        <x:v>Waarom deze drempels?
De standaardwaarden zijn startpunten, geen universele norm. Met 90% minimumsucces, maximaal 2% critical errors en z=1,96 is zelfs 30/30 succesvol zonder critical errors nog niet genoeg: de bewijsbodem wordt 189 cases. PAM-AI noemt dat MORE EVIDENCE, niet FAIL. Pas drempels alleen aan met taakgerichte motivering.</x:v>
      </x:c>
      <x:c r="E13" s="97"/>
      <x:c r="F13" s="97"/>
      <x:c r="G13" s="97"/>
      <x:c r="H13" s="98"/>
    </x:row>
    <x:row r="14" ht="34" customHeight="1">
      <x:c r="A14" s="63" t="str">
        <x:v>Taakeigenaar</x:v>
      </x:c>
      <x:c r="B14" s="66"/>
      <x:c r="C14" s="151"/>
      <x:c r="D14" s="99"/>
      <x:c r="E14" s="100"/>
      <x:c r="F14" s="100"/>
      <x:c r="G14" s="100"/>
      <x:c r="H14" s="101"/>
    </x:row>
    <x:row r="15">
      <x:c r="A15" s="63" t="str">
        <x:v>Besluitdatum</x:v>
      </x:c>
      <x:c r="B15" s="67" t="n">
        <x:v>46269</x:v>
      </x:c>
      <x:c r="C15" s="151"/>
      <x:c r="D15" s="99"/>
      <x:c r="E15" s="100"/>
      <x:c r="F15" s="100"/>
      <x:c r="G15" s="100"/>
      <x:c r="H15" s="101"/>
    </x:row>
    <x:row r="16">
      <x:c r="A16" s="63" t="str">
        <x:v>Beoogde beslisscope</x:v>
      </x:c>
      <x:c r="B16" s="66"/>
      <x:c r="C16" s="151"/>
      <x:c r="D16" s="99"/>
      <x:c r="E16" s="100"/>
      <x:c r="F16" s="100"/>
      <x:c r="G16" s="100"/>
      <x:c r="H16" s="101"/>
    </x:row>
    <x:row r="17">
      <x:c r="A17" s="151"/>
      <x:c r="B17" s="151"/>
      <x:c r="C17" s="151"/>
      <x:c r="D17" s="99"/>
      <x:c r="E17" s="100"/>
      <x:c r="F17" s="100"/>
      <x:c r="G17" s="100"/>
      <x:c r="H17" s="101"/>
    </x:row>
    <x:row r="18">
      <x:c r="A18" s="158" t="str">
        <x:v>Routeringsvragen</x:v>
      </x:c>
      <x:c r="B18" s="158"/>
      <x:c r="C18" s="151"/>
      <x:c r="D18" s="102"/>
      <x:c r="E18" s="103"/>
      <x:c r="F18" s="103"/>
      <x:c r="G18" s="103"/>
      <x:c r="H18" s="104"/>
    </x:row>
    <x:row r="19">
      <x:c r="A19" s="63" t="str">
        <x:v>Impact van fouten</x:v>
      </x:c>
      <x:c r="B19" s="66"/>
      <x:c r="C19" s="151"/>
      <x:c r="D19" s="151"/>
      <x:c r="E19" s="151"/>
      <x:c r="F19" s="151"/>
      <x:c r="G19" s="151"/>
      <x:c r="H19" s="151"/>
    </x:row>
    <x:row r="20">
      <x:c r="A20" s="63" t="str">
        <x:v>Schade goed omkeerbaar?</x:v>
      </x:c>
      <x:c r="B20" s="66"/>
      <x:c r="C20" s="151"/>
      <x:c r="D20" s="151"/>
      <x:c r="E20" s="151"/>
      <x:c r="F20" s="151"/>
      <x:c r="G20" s="151"/>
      <x:c r="H20" s="151"/>
    </x:row>
    <x:row r="21">
      <x:c r="A21" s="63" t="str">
        <x:v>Gevoelige / bijzondere data</x:v>
      </x:c>
      <x:c r="B21" s="66"/>
      <x:c r="C21" s="151"/>
      <x:c r="D21" s="151"/>
      <x:c r="E21" s="151"/>
      <x:c r="F21" s="151"/>
      <x:c r="G21" s="151"/>
      <x:c r="H21" s="151"/>
    </x:row>
    <x:row r="22">
      <x:c r="A22" s="63" t="str">
        <x:v>Rechten, veiligheid of kerntaak</x:v>
      </x:c>
      <x:c r="B22" s="66"/>
      <x:c r="C22" s="151"/>
      <x:c r="D22" s="151"/>
      <x:c r="E22" s="151"/>
      <x:c r="F22" s="151"/>
      <x:c r="G22" s="151"/>
      <x:c r="H22" s="151"/>
    </x:row>
    <x:row r="23">
      <x:c r="A23" s="63" t="str">
        <x:v>Schaal van inzet</x:v>
      </x:c>
      <x:c r="B23" s="66"/>
      <x:c r="C23" s="151"/>
      <x:c r="D23" s="151"/>
      <x:c r="E23" s="151"/>
      <x:c r="F23" s="151"/>
      <x:c r="G23" s="151"/>
      <x:c r="H23" s="151"/>
    </x:row>
    <x:row r="24">
      <x:c r="A24" s="63" t="str">
        <x:v>Externe / agentische handelingen</x:v>
      </x:c>
      <x:c r="B24" s="66"/>
      <x:c r="C24" s="151"/>
      <x:c r="D24" s="151"/>
      <x:c r="E24" s="151"/>
      <x:c r="F24" s="151"/>
      <x:c r="G24" s="151"/>
      <x:c r="H24" s="151"/>
    </x:row>
    <x:row r="25">
      <x:c r="A25" s="63" t="str">
        <x:v>Formele of sectorale plicht</x:v>
      </x:c>
      <x:c r="B25" s="66"/>
      <x:c r="C25" s="151"/>
      <x:c r="D25" s="151"/>
      <x:c r="E25" s="151"/>
      <x:c r="F25" s="151"/>
      <x:c r="G25" s="151"/>
      <x:c r="H25" s="151"/>
    </x:row>
    <x:row r="26">
      <x:c r="A26" s="63" t="str">
        <x:v>Aanbevolen route</x:v>
      </x:c>
      <x:c r="B26" s="70" t="str">
        <x:f>IF(COUNTBLANK(B19:B25)&gt;0,"VUL ROUTEVRAGEN IN",IF(OR(B19="Kritiek",B22="Ja"),"R4",IF(OR(B19="Hoog",B20="Nee",B21="Ja",B23="Groot",B24="Ja",B25="Ja"),"R3",IF(OR(B19="Middel",B20="Gedeeltelijk",B21="Beperkt",B22="Mogelijk",B23="Middel",B24="Beperkt",B25="Mogelijk"),"R2","R1"))))</x:f>
        <x:v>VUL ROUTEVRAGEN IN</x:v>
      </x:c>
      <x:c r="C26" s="151"/>
      <x:c r="D26" s="151"/>
      <x:c r="E26" s="151"/>
      <x:c r="F26" s="151"/>
      <x:c r="G26" s="151"/>
      <x:c r="H26" s="151"/>
    </x:row>
    <x:row r="27">
      <x:c r="A27" s="63" t="str">
        <x:v>Bevestigde route</x:v>
      </x:c>
      <x:c r="B27" s="66"/>
      <x:c r="C27" s="151"/>
      <x:c r="D27" s="151"/>
      <x:c r="E27" s="151"/>
      <x:c r="F27" s="151"/>
      <x:c r="G27" s="151"/>
      <x:c r="H27" s="151"/>
    </x:row>
    <x:row r="28" ht="42" customHeight="1">
      <x:c r="A28" s="63" t="str">
        <x:v>Motivering afwijking</x:v>
      </x:c>
      <x:c r="B28" s="66"/>
      <x:c r="C28" s="151"/>
      <x:c r="D28" s="151"/>
      <x:c r="E28" s="151"/>
      <x:c r="F28" s="151"/>
      <x:c r="G28" s="151"/>
      <x:c r="H28" s="151"/>
    </x:row>
    <x:row r="29">
      <x:c r="A29" s="151"/>
      <x:c r="B29" s="151"/>
      <x:c r="C29" s="151"/>
      <x:c r="D29" s="151"/>
      <x:c r="E29" s="151"/>
      <x:c r="F29" s="151"/>
      <x:c r="G29" s="151"/>
      <x:c r="H29" s="151"/>
    </x:row>
    <x:row r="30">
      <x:c r="A30" s="158" t="str">
        <x:v>Beslisdrempels — stel taakgericht vast</x:v>
      </x:c>
      <x:c r="B30" s="158"/>
      <x:c r="C30" s="151"/>
      <x:c r="D30" s="151"/>
      <x:c r="E30" s="151"/>
      <x:c r="F30" s="151"/>
      <x:c r="G30" s="151"/>
      <x:c r="H30" s="151"/>
    </x:row>
    <x:row r="31">
      <x:c r="A31" s="63" t="str">
        <x:v>Minimale succeskans</x:v>
      </x:c>
      <x:c r="B31" s="71" t="n">
        <x:v>0.9</x:v>
      </x:c>
      <x:c r="C31" s="151"/>
      <x:c r="D31" s="151"/>
      <x:c r="E31" s="151"/>
      <x:c r="F31" s="151"/>
      <x:c r="G31" s="151"/>
      <x:c r="H31" s="151"/>
    </x:row>
    <x:row r="32">
      <x:c r="A32" s="63" t="str">
        <x:v>Maximale critical-error-kans</x:v>
      </x:c>
      <x:c r="B32" s="71" t="n">
        <x:v>0.02</x:v>
      </x:c>
      <x:c r="C32" s="151"/>
      <x:c r="D32" s="151"/>
      <x:c r="E32" s="151"/>
      <x:c r="F32" s="151"/>
      <x:c r="G32" s="151"/>
      <x:c r="H32" s="151"/>
    </x:row>
    <x:row r="33">
      <x:c r="A33" s="63" t="str">
        <x:v>z-waarde betrouwbaarheidsinterval</x:v>
      </x:c>
      <x:c r="B33" s="72" t="n">
        <x:v>1.96</x:v>
      </x:c>
      <x:c r="C33" s="151"/>
      <x:c r="D33" s="151"/>
      <x:c r="E33" s="151"/>
      <x:c r="F33" s="151"/>
      <x:c r="G33" s="151"/>
      <x:c r="H33" s="151"/>
    </x:row>
    <x:row r="34">
      <x:c r="A34" s="63" t="str">
        <x:v>Basis minimum n</x:v>
      </x:c>
      <x:c r="B34" s="73" t="n">
        <x:v>30</x:v>
      </x:c>
      <x:c r="C34" s="151"/>
      <x:c r="D34" s="151"/>
      <x:c r="E34" s="151"/>
      <x:c r="F34" s="151"/>
      <x:c r="G34" s="151"/>
      <x:c r="H34" s="151"/>
    </x:row>
    <x:row r="35">
      <x:c r="A35" s="63" t="str">
        <x:v>n bij perfecte successcore</x:v>
      </x:c>
      <x:c r="B35" s="74" t="n">
        <x:f>ROUNDUP((B33^2*B31)/(1-B31),0)</x:f>
        <x:v>35</x:v>
      </x:c>
      <x:c r="C35" s="151"/>
      <x:c r="D35" s="151"/>
      <x:c r="E35" s="151"/>
      <x:c r="F35" s="151"/>
      <x:c r="G35" s="151"/>
      <x:c r="H35" s="151"/>
    </x:row>
    <x:row r="36">
      <x:c r="A36" s="63" t="str">
        <x:v>n bij nul critical errors</x:v>
      </x:c>
      <x:c r="B36" s="74" t="n">
        <x:f>ROUNDUP((B33^2*(1-B32))/B32,0)</x:f>
        <x:v>189</x:v>
      </x:c>
      <x:c r="C36" s="151"/>
      <x:c r="D36" s="151"/>
      <x:c r="E36" s="151"/>
      <x:c r="F36" s="151"/>
      <x:c r="G36" s="151"/>
      <x:c r="H36" s="151"/>
    </x:row>
    <x:row r="37">
      <x:c r="A37" s="63" t="str">
        <x:v>Effectieve bewijsbodem</x:v>
      </x:c>
      <x:c r="B37" s="74" t="n">
        <x:f>MAX(B34,B35,B36)</x:f>
        <x:v>189</x:v>
      </x:c>
      <x:c r="C37" s="151"/>
      <x:c r="D37" s="151"/>
      <x:c r="E37" s="151"/>
      <x:c r="F37" s="151"/>
      <x:c r="G37" s="151"/>
      <x:c r="H37" s="151"/>
    </x:row>
    <x:row r="38">
      <x:c r="A38" s="151"/>
      <x:c r="B38" s="151"/>
      <x:c r="C38" s="151"/>
      <x:c r="D38" s="151"/>
      <x:c r="E38" s="151"/>
      <x:c r="F38" s="151"/>
      <x:c r="G38" s="151"/>
      <x:c r="H38" s="151"/>
    </x:row>
    <x:row r="39">
      <x:c r="A39" s="158" t="str">
        <x:v>Welke bewijsdimensies zijn besliskritiek?</x:v>
      </x:c>
      <x:c r="B39" s="158"/>
      <x:c r="C39" s="151"/>
      <x:c r="D39" s="151"/>
      <x:c r="E39" s="151"/>
      <x:c r="F39" s="151"/>
      <x:c r="G39" s="151"/>
      <x:c r="H39" s="151"/>
    </x:row>
    <x:row r="40">
      <x:c r="A40" s="63" t="str">
        <x:v>Directe kosten</x:v>
      </x:c>
      <x:c r="B40" s="66" t="str">
        <x:v>Ja</x:v>
      </x:c>
      <x:c r="C40" s="151"/>
      <x:c r="D40" s="151"/>
      <x:c r="E40" s="151"/>
      <x:c r="F40" s="151"/>
      <x:c r="G40" s="151"/>
      <x:c r="H40" s="151"/>
    </x:row>
    <x:row r="41">
      <x:c r="A41" s="63" t="str">
        <x:v>Menselijke controle/herstel</x:v>
      </x:c>
      <x:c r="B41" s="66" t="str">
        <x:v>Ja</x:v>
      </x:c>
      <x:c r="C41" s="151"/>
      <x:c r="D41" s="151"/>
      <x:c r="E41" s="151"/>
      <x:c r="F41" s="151"/>
      <x:c r="G41" s="151"/>
      <x:c r="H41" s="151"/>
    </x:row>
    <x:row r="42">
      <x:c r="A42" s="63" t="str">
        <x:v>Doorlooptijd</x:v>
      </x:c>
      <x:c r="B42" s="66" t="str">
        <x:v>Nee</x:v>
      </x:c>
      <x:c r="C42" s="151"/>
      <x:c r="D42" s="151"/>
      <x:c r="E42" s="151"/>
      <x:c r="F42" s="151"/>
      <x:c r="G42" s="151"/>
      <x:c r="H42" s="151"/>
    </x:row>
    <x:row r="43">
      <x:c r="A43" s="63" t="str">
        <x:v>Milieu / resources</x:v>
      </x:c>
      <x:c r="B43" s="66" t="str">
        <x:v>Nee</x:v>
      </x:c>
      <x:c r="C43" s="151"/>
      <x:c r="D43" s="151"/>
      <x:c r="E43" s="151"/>
      <x:c r="F43" s="151"/>
      <x:c r="G43" s="151"/>
      <x:c r="H43" s="151"/>
    </x:row>
    <x:row r="44">
      <x:c r="A44" s="63" t="str">
        <x:v>Autonomie / afhankelijkheid</x:v>
      </x:c>
      <x:c r="B44" s="66" t="str">
        <x:v>Ja</x:v>
      </x:c>
      <x:c r="C44" s="151"/>
      <x:c r="D44" s="151"/>
      <x:c r="E44" s="151"/>
      <x:c r="F44" s="151"/>
      <x:c r="G44" s="151"/>
      <x:c r="H44" s="151"/>
    </x:row>
    <x:row r="45">
      <x:c r="A45" s="63" t="str">
        <x:v>Geldigheidsduur (dagen)</x:v>
      </x:c>
      <x:c r="B45" s="66" t="n">
        <x:v>180</x:v>
      </x:c>
      <x:c r="C45" s="151"/>
      <x:c r="D45" s="151"/>
      <x:c r="E45" s="151"/>
      <x:c r="F45" s="151"/>
      <x:c r="G45" s="151"/>
      <x:c r="H45" s="151"/>
    </x:row>
    <x:row r="46" ht="52" customHeight="1">
      <x:c r="A46" s="63" t="str">
        <x:v>Herbeoordelingstriggers</x:v>
      </x:c>
      <x:c r="B46" s="66" t="str">
        <x:v>Wijziging van model/configuratie, taak, doelgroep, datastroom, wetgeving, incident, prestaties of kosten.</x:v>
      </x:c>
      <x:c r="C46" s="151"/>
      <x:c r="D46" s="151"/>
      <x:c r="E46" s="151"/>
      <x:c r="F46" s="151"/>
      <x:c r="G46" s="151"/>
      <x:c r="H46" s="151"/>
    </x:row>
  </x:sheetData>
  <x:mergeCells>
    <x:mergeCell ref="A1:H1"/>
    <x:mergeCell ref="A2:H2"/>
    <x:mergeCell ref="A4:B4"/>
    <x:mergeCell ref="A18:B18"/>
    <x:mergeCell ref="A30:B30"/>
    <x:mergeCell ref="A39:B39"/>
    <x:mergeCell ref="D4:H4"/>
    <x:mergeCell ref="E11:H11"/>
    <x:mergeCell ref="D13:H18"/>
  </x:mergeCells>
  <x:conditionalFormatting sqref="B26:B27">
    <x:cfRule type="containsText" dxfId="0" priority="1" operator="containsText" text="PASS"/>
    <x:cfRule type="containsText" dxfId="1" priority="2" operator="containsText" text="READY"/>
    <x:cfRule type="containsText" dxfId="2" priority="3" operator="containsText" text="MORE EVIDENCE"/>
    <x:cfRule type="containsText" dxfId="3" priority="4" operator="containsText" text="CONDIT"/>
    <x:cfRule type="containsText" dxfId="4" priority="5" operator="containsText" text="HOLD"/>
    <x:cfRule type="containsText" dxfId="5" priority="6" operator="containsText" text="INCOMPLETE"/>
    <x:cfRule type="containsText" dxfId="6" priority="7" operator="containsText" text="FAIL"/>
    <x:cfRule type="containsText" dxfId="7" priority="8" operator="containsText" text="NOT ELIGIBLE"/>
  </x:conditionalFormatting>
  <x:dataValidations count="14">
    <x:dataValidation type="list" sqref="B16">
      <x:formula1>"Verkenning,Gecontroleerde pilot,Gedeeltelijke proportionaliteitsafweging,Volledige proportionaliteitsafweging"</x:formula1>
    </x:dataValidation>
    <x:dataValidation type="list" sqref="B19">
      <x:formula1>"Laag,Middel,Hoog,Kritiek"</x:formula1>
    </x:dataValidation>
    <x:dataValidation type="list" sqref="B20">
      <x:formula1>"Ja,Gedeeltelijk,Nee"</x:formula1>
    </x:dataValidation>
    <x:dataValidation type="list" sqref="B21">
      <x:formula1>"Nee,Beperkt,Ja"</x:formula1>
    </x:dataValidation>
    <x:dataValidation type="list" sqref="B22">
      <x:formula1>"Nee,Mogelijk,Ja"</x:formula1>
    </x:dataValidation>
    <x:dataValidation type="list" sqref="B23">
      <x:formula1>"Beperkt,Middel,Groot"</x:formula1>
    </x:dataValidation>
    <x:dataValidation type="list" sqref="B24">
      <x:formula1>"Nee,Beperkt,Ja"</x:formula1>
    </x:dataValidation>
    <x:dataValidation type="list" sqref="B25">
      <x:formula1>"Nee,Mogelijk,Ja"</x:formula1>
    </x:dataValidation>
    <x:dataValidation type="list" sqref="B27">
      <x:formula1>"R1,R2,R3,R4"</x:formula1>
    </x:dataValidation>
    <x:dataValidation type="list" sqref="B40">
      <x:formula1>"Ja,Nee"</x:formula1>
    </x:dataValidation>
    <x:dataValidation type="list" sqref="B41">
      <x:formula1>"Ja,Nee"</x:formula1>
    </x:dataValidation>
    <x:dataValidation type="list" sqref="B42">
      <x:formula1>"Ja,Nee"</x:formula1>
    </x:dataValidation>
    <x:dataValidation type="list" sqref="B43">
      <x:formula1>"Ja,Nee"</x:formula1>
    </x:dataValidation>
    <x:dataValidation type="list" sqref="B44">
      <x:formula1>"Ja,Nee"</x:formula1>
    </x:dataValidation>
  </x:dataValidations>
  <x:pageMargins left="0.7" right="0.7" top="0.75" bottom="0.75" header="0.3" footer="0.3"/>
  <x:legacyDrawing xmlns:r="http://schemas.openxmlformats.org/officeDocument/2006/relationships" r:id="R2164c79bdc3c465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3" hidden="0" customWidth="1"/>
    <x:col min="3" max="3" width="23" hidden="0" customWidth="1"/>
    <x:col min="4" max="4" width="30" hidden="0" customWidth="1"/>
    <x:col min="5" max="5" width="14" hidden="0" customWidth="1"/>
    <x:col min="6" max="6" width="22" hidden="0" customWidth="1"/>
    <x:col min="7" max="7" width="42" hidden="0" customWidth="1"/>
    <x:col min="8" max="8" width="14" hidden="0" customWidth="1"/>
    <x:col min="9" max="9" width="23" hidden="0" customWidth="1"/>
    <x:col min="10" max="10" width="32" hidden="0" customWidth="1"/>
  </x:cols>
  <x:sheetData>
    <x:row r="1" ht="31" customHeight="1">
      <x:c r="A1" s="149" t="str">
        <x:v>02 · Kandidaten</x:v>
      </x:c>
      <x:c r="B1" s="149"/>
      <x:c r="C1" s="149"/>
      <x:c r="D1" s="149"/>
      <x:c r="E1" s="149"/>
      <x:c r="F1" s="149"/>
      <x:c r="G1" s="149"/>
      <x:c r="H1" s="149"/>
      <x:c r="I1" s="149"/>
      <x:c r="J1" s="149"/>
    </x:row>
    <x:row r="2" ht="31" customHeight="1">
      <x:c r="A2" s="150" t="str">
        <x:v>Beschrijf de werkelijke oplossing/configuratie. Een merk- of modelnaam alleen is onvoldoende.</x:v>
      </x:c>
      <x:c r="B2" s="150"/>
      <x:c r="C2" s="150"/>
      <x:c r="D2" s="150"/>
      <x:c r="E2" s="150"/>
      <x:c r="F2" s="150"/>
      <x:c r="G2" s="150"/>
      <x:c r="H2" s="150"/>
      <x:c r="I2" s="150"/>
      <x:c r="J2" s="150"/>
    </x:row>
    <x:row r="3">
      <x:c r="A3" s="151"/>
      <x:c r="B3" s="151"/>
      <x:c r="C3" s="151"/>
      <x:c r="D3" s="151"/>
      <x:c r="E3" s="151"/>
      <x:c r="F3" s="151"/>
      <x:c r="G3" s="151"/>
      <x:c r="H3" s="151"/>
      <x:c r="I3" s="151"/>
      <x:c r="J3" s="151"/>
    </x:row>
    <x:row r="4" ht="38" customHeight="1">
      <x:c r="A4" s="159" t="str">
        <x:v>Kandidaat-ID</x:v>
      </x:c>
      <x:c r="B4" s="159" t="str">
        <x:v>Type</x:v>
      </x:c>
      <x:c r="C4" s="159" t="str">
        <x:v>Korte naam</x:v>
      </x:c>
      <x:c r="D4" s="159" t="str">
        <x:v>Provider / model / component</x:v>
      </x:c>
      <x:c r="E4" s="159" t="str">
        <x:v>Versie</x:v>
      </x:c>
      <x:c r="F4" s="159" t="str">
        <x:v>Deployment / regio</x:v>
      </x:c>
      <x:c r="G4" s="159" t="str">
        <x:v>Instellingen, tools, RAG, agents</x:v>
      </x:c>
      <x:c r="H4" s="159" t="str">
        <x:v>Testdatum</x:v>
      </x:c>
      <x:c r="I4" s="159" t="str">
        <x:v>Fingerprint / build</x:v>
      </x:c>
      <x:c r="J4" s="159" t="str">
        <x:v>Notities</x:v>
      </x:c>
    </x:row>
    <x:row r="5" ht="38" customHeight="1">
      <x:c r="A5" s="166" t="str">
        <x:v>C01</x:v>
      </x:c>
      <x:c r="B5" s="66" t="str"/>
      <x:c r="C5" s="66" t="str"/>
      <x:c r="D5" s="66" t="str"/>
      <x:c r="E5" s="66" t="str"/>
      <x:c r="F5" s="66" t="str"/>
      <x:c r="G5" s="66" t="str"/>
      <x:c r="H5" s="67"/>
      <x:c r="I5" s="66" t="str"/>
      <x:c r="J5" s="66" t="str"/>
    </x:row>
    <x:row r="6" ht="38" customHeight="1">
      <x:c r="A6" s="166" t="str">
        <x:v>C02</x:v>
      </x:c>
      <x:c r="B6" s="66" t="str"/>
      <x:c r="C6" s="66" t="str"/>
      <x:c r="D6" s="66" t="str"/>
      <x:c r="E6" s="66" t="str"/>
      <x:c r="F6" s="66" t="str"/>
      <x:c r="G6" s="66" t="str"/>
      <x:c r="H6" s="67"/>
      <x:c r="I6" s="66" t="str"/>
      <x:c r="J6" s="66" t="str"/>
    </x:row>
    <x:row r="7" ht="38" customHeight="1">
      <x:c r="A7" s="166" t="str">
        <x:v>C03</x:v>
      </x:c>
      <x:c r="B7" s="66" t="str"/>
      <x:c r="C7" s="66" t="str"/>
      <x:c r="D7" s="66" t="str"/>
      <x:c r="E7" s="66" t="str"/>
      <x:c r="F7" s="66" t="str"/>
      <x:c r="G7" s="66" t="str"/>
      <x:c r="H7" s="67"/>
      <x:c r="I7" s="66" t="str"/>
      <x:c r="J7" s="66" t="str"/>
    </x:row>
    <x:row r="8" ht="38" customHeight="1">
      <x:c r="A8" s="166" t="str">
        <x:v>C04</x:v>
      </x:c>
      <x:c r="B8" s="66" t="str"/>
      <x:c r="C8" s="66" t="str"/>
      <x:c r="D8" s="66" t="str"/>
      <x:c r="E8" s="66" t="str"/>
      <x:c r="F8" s="66" t="str"/>
      <x:c r="G8" s="66" t="str"/>
      <x:c r="H8" s="67"/>
      <x:c r="I8" s="66" t="str"/>
      <x:c r="J8" s="66" t="str"/>
    </x:row>
    <x:row r="9" ht="38" customHeight="1">
      <x:c r="A9" s="166" t="str">
        <x:v>C05</x:v>
      </x:c>
      <x:c r="B9" s="66" t="str"/>
      <x:c r="C9" s="66" t="str"/>
      <x:c r="D9" s="66" t="str"/>
      <x:c r="E9" s="66" t="str"/>
      <x:c r="F9" s="66" t="str"/>
      <x:c r="G9" s="66" t="str"/>
      <x:c r="H9" s="67"/>
      <x:c r="I9" s="66" t="str"/>
      <x:c r="J9" s="66" t="str"/>
    </x:row>
    <x:row r="10" ht="38" customHeight="1">
      <x:c r="A10" s="166" t="str">
        <x:v>C06</x:v>
      </x:c>
      <x:c r="B10" s="66" t="str"/>
      <x:c r="C10" s="66" t="str"/>
      <x:c r="D10" s="66" t="str"/>
      <x:c r="E10" s="66" t="str"/>
      <x:c r="F10" s="66" t="str"/>
      <x:c r="G10" s="66" t="str"/>
      <x:c r="H10" s="67"/>
      <x:c r="I10" s="66" t="str"/>
      <x:c r="J10" s="66" t="str"/>
    </x:row>
    <x:row r="11" ht="38" customHeight="1">
      <x:c r="A11" s="166" t="str">
        <x:v>C07</x:v>
      </x:c>
      <x:c r="B11" s="66" t="str"/>
      <x:c r="C11" s="66" t="str"/>
      <x:c r="D11" s="66" t="str"/>
      <x:c r="E11" s="66" t="str"/>
      <x:c r="F11" s="66" t="str"/>
      <x:c r="G11" s="66" t="str"/>
      <x:c r="H11" s="67"/>
      <x:c r="I11" s="66" t="str"/>
      <x:c r="J11" s="66" t="str"/>
    </x:row>
    <x:row r="12" ht="38" customHeight="1">
      <x:c r="A12" s="166" t="str">
        <x:v>C08</x:v>
      </x:c>
      <x:c r="B12" s="66" t="str"/>
      <x:c r="C12" s="66" t="str"/>
      <x:c r="D12" s="66" t="str"/>
      <x:c r="E12" s="66" t="str"/>
      <x:c r="F12" s="66" t="str"/>
      <x:c r="G12" s="66" t="str"/>
      <x:c r="H12" s="67"/>
      <x:c r="I12" s="66" t="str"/>
      <x:c r="J12" s="66" t="str"/>
    </x:row>
    <x:row r="13">
      <x:c r="A13" s="151"/>
      <x:c r="B13" s="151"/>
      <x:c r="C13" s="151"/>
      <x:c r="D13" s="151"/>
      <x:c r="E13" s="151"/>
      <x:c r="F13" s="151"/>
      <x:c r="G13" s="151"/>
      <x:c r="H13" s="151"/>
      <x:c r="I13" s="151"/>
      <x:c r="J13" s="151"/>
    </x:row>
    <x:row r="14">
      <x:c r="A14" s="165" t="str">
        <x:v>Neem altijd de huidige niet-AI-werkwijze op. Test elke kandidaat onder dezelfde functionele taakdefinitie. Leg versies en configuratie vast zodat resultaten later reproduceerbaar en herbeoordeelbaar zijn.</x:v>
      </x:c>
      <x:c r="B14" s="165"/>
      <x:c r="C14" s="165"/>
      <x:c r="D14" s="165"/>
      <x:c r="E14" s="165"/>
      <x:c r="F14" s="165"/>
      <x:c r="G14" s="165"/>
      <x:c r="H14" s="165"/>
      <x:c r="I14" s="165"/>
      <x:c r="J14" s="165"/>
    </x:row>
    <x:row r="15">
      <x:c r="A15" s="165"/>
      <x:c r="B15" s="165"/>
      <x:c r="C15" s="165"/>
      <x:c r="D15" s="165"/>
      <x:c r="E15" s="165"/>
      <x:c r="F15" s="165"/>
      <x:c r="G15" s="165"/>
      <x:c r="H15" s="165"/>
      <x:c r="I15" s="165"/>
      <x:c r="J15" s="165"/>
    </x:row>
    <x:row r="16">
      <x:c r="A16" s="165"/>
      <x:c r="B16" s="165"/>
      <x:c r="C16" s="165"/>
      <x:c r="D16" s="165"/>
      <x:c r="E16" s="165"/>
      <x:c r="F16" s="165"/>
      <x:c r="G16" s="165"/>
      <x:c r="H16" s="165"/>
      <x:c r="I16" s="165"/>
      <x:c r="J16" s="165"/>
    </x:row>
  </x:sheetData>
  <x:mergeCells>
    <x:mergeCell ref="A1:J1"/>
    <x:mergeCell ref="A2:J2"/>
    <x:mergeCell ref="A14:J16"/>
  </x:mergeCells>
  <x:dataValidations count="1">
    <x:dataValidation type="list" sqref="B5:B12">
      <x:formula1>"Niet-AI-baseline,AI-model,Hybride,Regelgebaseerd / klassieke ML,Anders"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e70481be2141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1" hidden="0" customWidth="1"/>
    <x:col min="3" max="3" width="21" hidden="0" customWidth="1"/>
    <x:col min="4" max="4" width="18" hidden="0" customWidth="1"/>
    <x:col min="5" max="5" width="21" hidden="0" customWidth="1"/>
    <x:col min="6" max="6" width="26" hidden="0" customWidth="1"/>
    <x:col min="7" max="7" width="29" hidden="0" customWidth="1"/>
    <x:col min="8" max="8" width="22" hidden="0" customWidth="1"/>
    <x:col min="9" max="9" width="25" hidden="0" customWidth="1"/>
    <x:col min="10" max="10" width="28" hidden="0" customWidth="1"/>
    <x:col min="11" max="11" width="28" hidden="0" customWidth="1"/>
    <x:col min="12" max="12" width="35" hidden="0" customWidth="1"/>
    <x:col min="13" max="13" width="22" hidden="0" customWidth="1"/>
  </x:cols>
  <x:sheetData>
    <x:row r="1" ht="31" customHeight="1">
      <x:c r="A1" s="149" t="str">
        <x:v>03 · Poort 1 — toelaatbaarheid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149"/>
      <x:c r="L1" s="149"/>
      <x:c r="M1" s="149"/>
    </x:row>
    <x:row r="2" ht="31" customHeight="1">
      <x:c r="A2" s="150" t="str">
        <x:v>Acht domeinen, één rij per kandidaat. FAIL sluit uit; voorwaarden en onbekenden blijven zichtbaar.</x:v>
      </x:c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</x:row>
    <x:row r="3">
      <x:c r="A3" s="151"/>
      <x:c r="B3" s="151"/>
      <x:c r="C3" s="151"/>
      <x:c r="D3" s="151"/>
      <x:c r="E3" s="151"/>
      <x:c r="F3" s="151"/>
      <x:c r="G3" s="151"/>
      <x:c r="H3" s="151"/>
      <x:c r="I3" s="151"/>
      <x:c r="J3" s="151"/>
      <x:c r="K3" s="151"/>
      <x:c r="L3" s="151"/>
      <x:c r="M3" s="151"/>
    </x:row>
    <x:row r="4" ht="45" customHeight="1">
      <x:c r="A4" s="159" t="str">
        <x:v>Kandidaat-ID</x:v>
      </x:c>
      <x:c r="B4" s="159" t="str">
        <x:v>Naam</x:v>
      </x:c>
      <x:c r="C4" s="159" t="str">
        <x:v>Wet / verboden / sector</x:v>
      </x:c>
      <x:c r="D4" s="159" t="str">
        <x:v>Privacy / data</x:v>
      </x:c>
      <x:c r="E4" s="159" t="str">
        <x:v>Security / vertrouwelijkheid</x:v>
      </x:c>
      <x:c r="F4" s="159" t="str">
        <x:v>Rechten / inclusie / toegankelijkheid</x:v>
      </x:c>
      <x:c r="G4" s="159" t="str">
        <x:v>Menselijke verantwoordelijkheid / transparantie</x:v>
      </x:c>
      <x:c r="H4" s="159" t="str">
        <x:v>Provider / IP / contract</x:v>
      </x:c>
      <x:c r="I4" s="159" t="str">
        <x:v>Logging / incident / corrigeerbaarheid</x:v>
      </x:c>
      <x:c r="J4" s="159" t="str">
        <x:v>Continuïteit / exit / goedgekeurde omgeving</x:v>
      </x:c>
      <x:c r="K4" s="159" t="str">
        <x:v>Bewijs-ID's / bronnen</x:v>
      </x:c>
      <x:c r="L4" s="159" t="str">
        <x:v>Voorwaarden of N.v.t.-motivering</x:v>
      </x:c>
      <x:c r="M4" s="159" t="str">
        <x:v>Poort 1</x:v>
      </x:c>
    </x:row>
    <x:row r="5" ht="45" customHeight="1">
      <x:c r="A5" s="70" t="str">
        <x:v>C01</x:v>
      </x:c>
      <x:c r="B5" s="70" t="str">
        <x:f>IFERROR(INDEX('02_Kandidaten'!$C$5:$C$12,MATCH(A5,'02_Kandidaten'!$A$5:$A$12,0)),"")</x:f>
      </x:c>
      <x:c r="C5" s="66"/>
      <x:c r="D5" s="66"/>
      <x:c r="E5" s="66"/>
      <x:c r="F5" s="66"/>
      <x:c r="G5" s="66"/>
      <x:c r="H5" s="66"/>
      <x:c r="I5" s="66"/>
      <x:c r="J5" s="66"/>
      <x:c r="K5" s="66"/>
      <x:c r="L5" s="66"/>
      <x:c r="M5" s="70" t="str">
        <x:f>IF(B5="","",IF(COUNTBLANK(C5:J5)&gt;0,"INCOMPLETE",IF(COUNTIF(C5:J5,"FAIL")&gt;0,"FAIL",IF(K5="","INCOMPLETE EVIDENCE",IF(AND(COUNTIF(C5:J5,"CONDITIONAL")&gt;0,L5=""),"CONDITION MISSING",IF(AND(COUNTIF(C5:J5,"N/A")&gt;0,L5=""),"RATIONALE MISSING",IF(COUNTIF(C5:J5,"UNKNOWN")&gt;0,"INCOMPLETE EVIDENCE",IF(COUNTIF(C5:J5,"CONDITIONAL")&gt;0,"CONDITIONAL","PASS"))))))))</x:f>
      </x:c>
    </x:row>
    <x:row r="6" ht="45" customHeight="1">
      <x:c r="A6" s="70" t="str">
        <x:v>C02</x:v>
      </x:c>
      <x:c r="B6" s="70" t="str">
        <x:f>IFERROR(INDEX('02_Kandidaten'!$C$5:$C$12,MATCH(A6,'02_Kandidaten'!$A$5:$A$12,0)),"")</x:f>
      </x:c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70" t="str">
        <x:f>IF(B6="","",IF(COUNTBLANK(C6:J6)&gt;0,"INCOMPLETE",IF(COUNTIF(C6:J6,"FAIL")&gt;0,"FAIL",IF(K6="","INCOMPLETE EVIDENCE",IF(AND(COUNTIF(C6:J6,"CONDITIONAL")&gt;0,L6=""),"CONDITION MISSING",IF(AND(COUNTIF(C6:J6,"N/A")&gt;0,L6=""),"RATIONALE MISSING",IF(COUNTIF(C6:J6,"UNKNOWN")&gt;0,"INCOMPLETE EVIDENCE",IF(COUNTIF(C6:J6,"CONDITIONAL")&gt;0,"CONDITIONAL","PASS"))))))))</x:f>
      </x:c>
    </x:row>
    <x:row r="7" ht="45" customHeight="1">
      <x:c r="A7" s="70" t="str">
        <x:v>C03</x:v>
      </x:c>
      <x:c r="B7" s="70" t="str">
        <x:f>IFERROR(INDEX('02_Kandidaten'!$C$5:$C$12,MATCH(A7,'02_Kandidaten'!$A$5:$A$12,0)),"")</x:f>
      </x:c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70" t="str">
        <x:f>IF(B7="","",IF(COUNTBLANK(C7:J7)&gt;0,"INCOMPLETE",IF(COUNTIF(C7:J7,"FAIL")&gt;0,"FAIL",IF(K7="","INCOMPLETE EVIDENCE",IF(AND(COUNTIF(C7:J7,"CONDITIONAL")&gt;0,L7=""),"CONDITION MISSING",IF(AND(COUNTIF(C7:J7,"N/A")&gt;0,L7=""),"RATIONALE MISSING",IF(COUNTIF(C7:J7,"UNKNOWN")&gt;0,"INCOMPLETE EVIDENCE",IF(COUNTIF(C7:J7,"CONDITIONAL")&gt;0,"CONDITIONAL","PASS"))))))))</x:f>
      </x:c>
    </x:row>
    <x:row r="8" ht="45" customHeight="1">
      <x:c r="A8" s="70" t="str">
        <x:v>C04</x:v>
      </x:c>
      <x:c r="B8" s="70" t="str">
        <x:f>IFERROR(INDEX('02_Kandidaten'!$C$5:$C$12,MATCH(A8,'02_Kandidaten'!$A$5:$A$12,0)),"")</x:f>
      </x:c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70" t="str">
        <x:f>IF(B8="","",IF(COUNTBLANK(C8:J8)&gt;0,"INCOMPLETE",IF(COUNTIF(C8:J8,"FAIL")&gt;0,"FAIL",IF(K8="","INCOMPLETE EVIDENCE",IF(AND(COUNTIF(C8:J8,"CONDITIONAL")&gt;0,L8=""),"CONDITION MISSING",IF(AND(COUNTIF(C8:J8,"N/A")&gt;0,L8=""),"RATIONALE MISSING",IF(COUNTIF(C8:J8,"UNKNOWN")&gt;0,"INCOMPLETE EVIDENCE",IF(COUNTIF(C8:J8,"CONDITIONAL")&gt;0,"CONDITIONAL","PASS"))))))))</x:f>
      </x:c>
    </x:row>
    <x:row r="9" ht="45" customHeight="1">
      <x:c r="A9" s="70" t="str">
        <x:v>C05</x:v>
      </x:c>
      <x:c r="B9" s="70" t="str">
        <x:f>IFERROR(INDEX('02_Kandidaten'!$C$5:$C$12,MATCH(A9,'02_Kandidaten'!$A$5:$A$12,0)),"")</x:f>
      </x:c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70" t="str">
        <x:f>IF(B9="","",IF(COUNTBLANK(C9:J9)&gt;0,"INCOMPLETE",IF(COUNTIF(C9:J9,"FAIL")&gt;0,"FAIL",IF(K9="","INCOMPLETE EVIDENCE",IF(AND(COUNTIF(C9:J9,"CONDITIONAL")&gt;0,L9=""),"CONDITION MISSING",IF(AND(COUNTIF(C9:J9,"N/A")&gt;0,L9=""),"RATIONALE MISSING",IF(COUNTIF(C9:J9,"UNKNOWN")&gt;0,"INCOMPLETE EVIDENCE",IF(COUNTIF(C9:J9,"CONDITIONAL")&gt;0,"CONDITIONAL","PASS"))))))))</x:f>
      </x:c>
    </x:row>
    <x:row r="10" ht="45" customHeight="1">
      <x:c r="A10" s="70" t="str">
        <x:v>C06</x:v>
      </x:c>
      <x:c r="B10" s="70" t="str">
        <x:f>IFERROR(INDEX('02_Kandidaten'!$C$5:$C$12,MATCH(A10,'02_Kandidaten'!$A$5:$A$12,0)),"")</x:f>
      </x:c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70" t="str">
        <x:f>IF(B10="","",IF(COUNTBLANK(C10:J10)&gt;0,"INCOMPLETE",IF(COUNTIF(C10:J10,"FAIL")&gt;0,"FAIL",IF(K10="","INCOMPLETE EVIDENCE",IF(AND(COUNTIF(C10:J10,"CONDITIONAL")&gt;0,L10=""),"CONDITION MISSING",IF(AND(COUNTIF(C10:J10,"N/A")&gt;0,L10=""),"RATIONALE MISSING",IF(COUNTIF(C10:J10,"UNKNOWN")&gt;0,"INCOMPLETE EVIDENCE",IF(COUNTIF(C10:J10,"CONDITIONAL")&gt;0,"CONDITIONAL","PASS"))))))))</x:f>
      </x:c>
    </x:row>
    <x:row r="11" ht="45" customHeight="1">
      <x:c r="A11" s="70" t="str">
        <x:v>C07</x:v>
      </x:c>
      <x:c r="B11" s="70" t="str">
        <x:f>IFERROR(INDEX('02_Kandidaten'!$C$5:$C$12,MATCH(A11,'02_Kandidaten'!$A$5:$A$12,0)),"")</x:f>
      </x:c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70" t="str">
        <x:f>IF(B11="","",IF(COUNTBLANK(C11:J11)&gt;0,"INCOMPLETE",IF(COUNTIF(C11:J11,"FAIL")&gt;0,"FAIL",IF(K11="","INCOMPLETE EVIDENCE",IF(AND(COUNTIF(C11:J11,"CONDITIONAL")&gt;0,L11=""),"CONDITION MISSING",IF(AND(COUNTIF(C11:J11,"N/A")&gt;0,L11=""),"RATIONALE MISSING",IF(COUNTIF(C11:J11,"UNKNOWN")&gt;0,"INCOMPLETE EVIDENCE",IF(COUNTIF(C11:J11,"CONDITIONAL")&gt;0,"CONDITIONAL","PASS"))))))))</x:f>
      </x:c>
    </x:row>
    <x:row r="12" ht="45" customHeight="1">
      <x:c r="A12" s="70" t="str">
        <x:v>C08</x:v>
      </x:c>
      <x:c r="B12" s="70" t="str">
        <x:f>IFERROR(INDEX('02_Kandidaten'!$C$5:$C$12,MATCH(A12,'02_Kandidaten'!$A$5:$A$12,0)),"")</x:f>
      </x:c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70" t="str">
        <x:f>IF(B12="","",IF(COUNTBLANK(C12:J12)&gt;0,"INCOMPLETE",IF(COUNTIF(C12:J12,"FAIL")&gt;0,"FAIL",IF(K12="","INCOMPLETE EVIDENCE",IF(AND(COUNTIF(C12:J12,"CONDITIONAL")&gt;0,L12=""),"CONDITION MISSING",IF(AND(COUNTIF(C12:J12,"N/A")&gt;0,L12=""),"RATIONALE MISSING",IF(COUNTIF(C12:J12,"UNKNOWN")&gt;0,"INCOMPLETE EVIDENCE",IF(COUNTIF(C12:J12,"CONDITIONAL")&gt;0,"CONDITIONAL","PASS"))))))))</x:f>
      </x:c>
    </x:row>
    <x:row r="13">
      <x:c r="A13" s="151"/>
      <x:c r="B13" s="151"/>
      <x:c r="C13" s="151"/>
      <x:c r="D13" s="151"/>
      <x:c r="E13" s="151"/>
      <x:c r="F13" s="151"/>
      <x:c r="G13" s="151"/>
      <x:c r="H13" s="151"/>
      <x:c r="I13" s="151"/>
      <x:c r="J13" s="151"/>
      <x:c r="K13" s="151"/>
      <x:c r="L13" s="151"/>
      <x:c r="M13" s="151"/>
    </x:row>
    <x:row r="14">
      <x:c r="A14" s="165" t="str">
        <x:v>Praktisch: beoordeel alleen ingevulde kandidaten. Gebruik N/A uitsluitend met motivering. CONDITIONAL betekent dat de voorwaarde expliciet in het besluit terugkomt. R1 is lichter in bewijsdiepte, niet in het uitsluiten van onaanvaardbare inzet.</x:v>
      </x:c>
      <x:c r="B14" s="165"/>
      <x:c r="C14" s="165"/>
      <x:c r="D14" s="165"/>
      <x:c r="E14" s="165"/>
      <x:c r="F14" s="165"/>
      <x:c r="G14" s="165"/>
      <x:c r="H14" s="165"/>
      <x:c r="I14" s="165"/>
      <x:c r="J14" s="165"/>
      <x:c r="K14" s="165"/>
      <x:c r="L14" s="165"/>
      <x:c r="M14" s="165"/>
    </x:row>
    <x:row r="15">
      <x:c r="A15" s="165"/>
      <x:c r="B15" s="165"/>
      <x:c r="C15" s="165"/>
      <x:c r="D15" s="165"/>
      <x:c r="E15" s="165"/>
      <x:c r="F15" s="165"/>
      <x:c r="G15" s="165"/>
      <x:c r="H15" s="165"/>
      <x:c r="I15" s="165"/>
      <x:c r="J15" s="165"/>
      <x:c r="K15" s="165"/>
      <x:c r="L15" s="165"/>
      <x:c r="M15" s="165"/>
    </x:row>
    <x:row r="16">
      <x:c r="A16" s="165"/>
      <x:c r="B16" s="165"/>
      <x:c r="C16" s="165"/>
      <x:c r="D16" s="165"/>
      <x:c r="E16" s="165"/>
      <x:c r="F16" s="165"/>
      <x:c r="G16" s="165"/>
      <x:c r="H16" s="165"/>
      <x:c r="I16" s="165"/>
      <x:c r="J16" s="165"/>
      <x:c r="K16" s="165"/>
      <x:c r="L16" s="165"/>
      <x:c r="M16" s="165"/>
    </x:row>
  </x:sheetData>
  <x:mergeCells>
    <x:mergeCell ref="A1:M1"/>
    <x:mergeCell ref="A2:M2"/>
    <x:mergeCell ref="A14:M16"/>
  </x:mergeCells>
  <x:conditionalFormatting sqref="C5:J12">
    <x:cfRule type="containsText" dxfId="8" priority="1" operator="containsText" text="PASS"/>
    <x:cfRule type="containsText" dxfId="9" priority="2" operator="containsText" text="READY"/>
    <x:cfRule type="containsText" dxfId="10" priority="3" operator="containsText" text="MORE EVIDENCE"/>
    <x:cfRule type="containsText" dxfId="11" priority="4" operator="containsText" text="CONDIT"/>
    <x:cfRule type="containsText" dxfId="12" priority="5" operator="containsText" text="HOLD"/>
    <x:cfRule type="containsText" dxfId="13" priority="6" operator="containsText" text="INCOMPLETE"/>
    <x:cfRule type="containsText" dxfId="14" priority="7" operator="containsText" text="FAIL"/>
    <x:cfRule type="containsText" dxfId="15" priority="8" operator="containsText" text="NOT ELIGIBLE"/>
  </x:conditionalFormatting>
  <x:conditionalFormatting sqref="M5:M12">
    <x:cfRule type="containsText" dxfId="16" priority="9" operator="containsText" text="PASS"/>
    <x:cfRule type="containsText" dxfId="17" priority="10" operator="containsText" text="READY"/>
    <x:cfRule type="containsText" dxfId="18" priority="11" operator="containsText" text="MORE EVIDENCE"/>
    <x:cfRule type="containsText" dxfId="19" priority="12" operator="containsText" text="CONDIT"/>
    <x:cfRule type="containsText" dxfId="20" priority="13" operator="containsText" text="HOLD"/>
    <x:cfRule type="containsText" dxfId="21" priority="14" operator="containsText" text="INCOMPLETE"/>
    <x:cfRule type="containsText" dxfId="22" priority="15" operator="containsText" text="FAIL"/>
    <x:cfRule type="containsText" dxfId="23" priority="16" operator="containsText" text="NOT ELIGIBLE"/>
  </x:conditionalFormatting>
  <x:dataValidations count="1">
    <x:dataValidation type="list" sqref="C5:J12">
      <x:formula1>"PASS,CONDITIONAL,FAIL,UNKNOWN,N/A"</x:formula1>
    </x:dataValidation>
  </x:dataValidations>
  <x:pageMargins left="0.7" right="0.7" top="0.75" bottom="0.75" header="0.3" footer="0.3"/>
  <x:legacyDrawing xmlns:r="http://schemas.openxmlformats.org/officeDocument/2006/relationships" r:id="R69215b067b5e460e"/>
  <x:tableParts count="1">
    <x:tablePart xmlns:r="http://schemas.openxmlformats.org/officeDocument/2006/relationships" r:id="R8587d1730e1645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34" hidden="0" customWidth="1"/>
    <x:col min="4" max="4" width="23" hidden="0" customWidth="1"/>
    <x:col min="5" max="5" width="22" hidden="0" customWidth="1"/>
    <x:col min="6" max="6" width="38" hidden="0" customWidth="1"/>
  </x:cols>
  <x:sheetData>
    <x:row r="1" ht="31" customHeight="1">
      <x:c r="A1" s="149" t="str">
        <x:v>04 · Testontwerp</x:v>
      </x:c>
      <x:c r="B1" s="149"/>
      <x:c r="C1" s="149"/>
      <x:c r="D1" s="149"/>
      <x:c r="E1" s="149"/>
      <x:c r="F1" s="149"/>
    </x:row>
    <x:row r="2" ht="31" customHeight="1">
      <x:c r="A2" s="150" t="str">
        <x:v>Definieer vooraf wat telt als succes, critical error en representatieve dekking.</x:v>
      </x:c>
      <x:c r="B2" s="150"/>
      <x:c r="C2" s="150"/>
      <x:c r="D2" s="150"/>
      <x:c r="E2" s="150"/>
      <x:c r="F2" s="150"/>
    </x:row>
    <x:row r="3">
      <x:c r="A3" s="151"/>
      <x:c r="B3" s="151"/>
      <x:c r="C3" s="151"/>
      <x:c r="D3" s="151"/>
      <x:c r="E3" s="151"/>
      <x:c r="F3" s="151"/>
    </x:row>
    <x:row r="4">
      <x:c r="A4" s="158" t="str">
        <x:v>Testbeleid</x:v>
      </x:c>
      <x:c r="B4" s="158"/>
      <x:c r="C4" s="158"/>
      <x:c r="D4" s="158"/>
      <x:c r="E4" s="158"/>
      <x:c r="F4" s="158"/>
    </x:row>
    <x:row r="5">
      <x:c r="A5" s="151"/>
      <x:c r="B5" s="151"/>
      <x:c r="C5" s="151"/>
      <x:c r="D5" s="151"/>
      <x:c r="E5" s="151"/>
      <x:c r="F5" s="151"/>
    </x:row>
    <x:row r="6" ht="35" customHeight="1">
      <x:c r="A6" s="63" t="str">
        <x:v>Maximaal aantal retries</x:v>
      </x:c>
      <x:c r="B6" s="66" t="n">
        <x:v>2</x:v>
      </x:c>
      <x:c r="C6" s="66"/>
      <x:c r="D6" s="66"/>
      <x:c r="E6" s="66"/>
      <x:c r="F6" s="66"/>
    </x:row>
    <x:row r="7" ht="35" customHeight="1">
      <x:c r="A7" s="63" t="str">
        <x:v>Definitie critical error</x:v>
      </x:c>
      <x:c r="B7" s="66"/>
      <x:c r="C7" s="66"/>
      <x:c r="D7" s="66"/>
      <x:c r="E7" s="66"/>
      <x:c r="F7" s="66"/>
    </x:row>
    <x:row r="8" ht="35" customHeight="1">
      <x:c r="A8" s="63" t="str">
        <x:v>Eenheid van vergelijking</x:v>
      </x:c>
      <x:c r="B8" s="66" t="str">
        <x:v>Eén geaccepteerde taakuitkomst; alle pogingen, controle en herstel worden meegeteld.</x:v>
      </x:c>
      <x:c r="C8" s="66"/>
      <x:c r="D8" s="66"/>
      <x:c r="E8" s="66"/>
      <x:c r="F8" s="66"/>
    </x:row>
    <x:row r="9" ht="35" customHeight="1">
      <x:c r="A9" s="63" t="str">
        <x:v>Wie beoordeelt uitkomsten?</x:v>
      </x:c>
      <x:c r="B9" s="66"/>
      <x:c r="C9" s="66"/>
      <x:c r="D9" s="66"/>
      <x:c r="E9" s="66"/>
      <x:c r="F9" s="66"/>
    </x:row>
    <x:row r="10" ht="35" customHeight="1">
      <x:c r="A10" s="63" t="str">
        <x:v>Blind / dubbel beoordeeld?</x:v>
      </x:c>
      <x:c r="B10" s="66"/>
      <x:c r="C10" s="66"/>
      <x:c r="D10" s="66"/>
      <x:c r="E10" s="66"/>
      <x:c r="F10" s="66"/>
    </x:row>
    <x:row r="11">
      <x:c r="A11" s="151"/>
      <x:c r="B11" s="151"/>
      <x:c r="C11" s="151"/>
      <x:c r="D11" s="151"/>
      <x:c r="E11" s="151"/>
      <x:c r="F11" s="151"/>
    </x:row>
    <x:row r="12">
      <x:c r="A12" s="158" t="str">
        <x:v>Acceptatiecriteria / rubric</x:v>
      </x:c>
      <x:c r="B12" s="158"/>
      <x:c r="C12" s="158"/>
      <x:c r="D12" s="158"/>
      <x:c r="E12" s="158"/>
      <x:c r="F12" s="158"/>
    </x:row>
    <x:row r="13">
      <x:c r="A13" s="151"/>
      <x:c r="B13" s="151"/>
      <x:c r="C13" s="151"/>
      <x:c r="D13" s="151"/>
      <x:c r="E13" s="151"/>
      <x:c r="F13" s="151"/>
    </x:row>
    <x:row r="14" ht="34" customHeight="1">
      <x:c r="A14" s="159" t="str">
        <x:v>Criterium-ID</x:v>
      </x:c>
      <x:c r="B14" s="159" t="str">
        <x:v>Criterium</x:v>
      </x:c>
      <x:c r="C14" s="159" t="str">
        <x:v>Hoe beoordeeld?</x:v>
      </x:c>
      <x:c r="D14" s="159" t="str">
        <x:v>Minimum / regel</x:v>
      </x:c>
      <x:c r="E14" s="159" t="str">
        <x:v>Critical bij schending?</x:v>
      </x:c>
      <x:c r="F14" s="159" t="str">
        <x:v>Bewijs / toelichting</x:v>
      </x:c>
    </x:row>
    <x:row r="15" ht="34" customHeight="1">
      <x:c r="A15" s="166" t="str">
        <x:v>A1</x:v>
      </x:c>
      <x:c r="B15" s="66" t="str"/>
      <x:c r="C15" s="66" t="str"/>
      <x:c r="D15" s="66" t="str"/>
      <x:c r="E15" s="66" t="str"/>
      <x:c r="F15" s="66" t="str"/>
    </x:row>
    <x:row r="16" ht="34" customHeight="1">
      <x:c r="A16" s="166" t="str">
        <x:v>A2</x:v>
      </x:c>
      <x:c r="B16" s="66" t="str"/>
      <x:c r="C16" s="66" t="str"/>
      <x:c r="D16" s="66" t="str"/>
      <x:c r="E16" s="66" t="str"/>
      <x:c r="F16" s="66" t="str"/>
    </x:row>
    <x:row r="17" ht="34" customHeight="1">
      <x:c r="A17" s="166" t="str">
        <x:v>A3</x:v>
      </x:c>
      <x:c r="B17" s="66" t="str"/>
      <x:c r="C17" s="66" t="str"/>
      <x:c r="D17" s="66" t="str"/>
      <x:c r="E17" s="66" t="str"/>
      <x:c r="F17" s="66" t="str"/>
    </x:row>
    <x:row r="18" ht="34" customHeight="1">
      <x:c r="A18" s="166" t="str">
        <x:v>A4</x:v>
      </x:c>
      <x:c r="B18" s="66" t="str"/>
      <x:c r="C18" s="66" t="str"/>
      <x:c r="D18" s="66" t="str"/>
      <x:c r="E18" s="66" t="str"/>
      <x:c r="F18" s="66" t="str"/>
    </x:row>
    <x:row r="19" ht="34" customHeight="1">
      <x:c r="A19" s="166" t="str">
        <x:v>A5</x:v>
      </x:c>
      <x:c r="B19" s="66" t="str"/>
      <x:c r="C19" s="66" t="str"/>
      <x:c r="D19" s="66" t="str"/>
      <x:c r="E19" s="66" t="str"/>
      <x:c r="F19" s="66" t="str"/>
    </x:row>
    <x:row r="20" ht="34" customHeight="1">
      <x:c r="A20" s="166" t="str">
        <x:v>A6</x:v>
      </x:c>
      <x:c r="B20" s="66" t="str"/>
      <x:c r="C20" s="66" t="str"/>
      <x:c r="D20" s="66" t="str"/>
      <x:c r="E20" s="66" t="str"/>
      <x:c r="F20" s="66" t="str"/>
    </x:row>
    <x:row r="21" ht="34" customHeight="1">
      <x:c r="A21" s="151"/>
      <x:c r="B21" s="151"/>
      <x:c r="C21" s="151"/>
      <x:c r="D21" s="151"/>
      <x:c r="E21" s="151"/>
      <x:c r="F21" s="151"/>
    </x:row>
    <x:row r="22" ht="34" customHeight="1">
      <x:c r="A22" s="158" t="str">
        <x:v>Dekking / strata</x:v>
      </x:c>
      <x:c r="B22" s="158"/>
      <x:c r="C22" s="158"/>
      <x:c r="D22" s="158"/>
      <x:c r="E22" s="158"/>
      <x:c r="F22" s="158"/>
    </x:row>
    <x:row r="23" ht="34" customHeight="1">
      <x:c r="A23" s="151"/>
      <x:c r="B23" s="151"/>
      <x:c r="C23" s="151"/>
      <x:c r="D23" s="151"/>
      <x:c r="E23" s="151"/>
      <x:c r="F23" s="151"/>
    </x:row>
    <x:row r="24" ht="34" customHeight="1">
      <x:c r="A24" s="159" t="str">
        <x:v>Stratum-ID</x:v>
      </x:c>
      <x:c r="B24" s="159" t="str">
        <x:v>Groep / situatie</x:v>
      </x:c>
      <x:c r="C24" s="159" t="str">
        <x:v>Waarom relevant?</x:v>
      </x:c>
      <x:c r="D24" s="159" t="str">
        <x:v>Doel-n per kandidaat</x:v>
      </x:c>
      <x:c r="E24" s="159" t="str">
        <x:v>Verplicht?</x:v>
      </x:c>
      <x:c r="F24" s="159" t="str">
        <x:v>Dekkingsnotitie</x:v>
      </x:c>
    </x:row>
    <x:row r="25" ht="34" customHeight="1">
      <x:c r="A25" s="166" t="str">
        <x:v>S01</x:v>
      </x:c>
      <x:c r="B25" s="66" t="str"/>
      <x:c r="C25" s="66" t="str"/>
      <x:c r="D25" s="66" t="str"/>
      <x:c r="E25" s="66" t="str"/>
      <x:c r="F25" s="66" t="str"/>
    </x:row>
    <x:row r="26" ht="34" customHeight="1">
      <x:c r="A26" s="166" t="str">
        <x:v>S02</x:v>
      </x:c>
      <x:c r="B26" s="66" t="str"/>
      <x:c r="C26" s="66" t="str"/>
      <x:c r="D26" s="66" t="str"/>
      <x:c r="E26" s="66" t="str"/>
      <x:c r="F26" s="66" t="str"/>
    </x:row>
    <x:row r="27" ht="34" customHeight="1">
      <x:c r="A27" s="166" t="str">
        <x:v>S03</x:v>
      </x:c>
      <x:c r="B27" s="66" t="str"/>
      <x:c r="C27" s="66" t="str"/>
      <x:c r="D27" s="66" t="str"/>
      <x:c r="E27" s="66" t="str"/>
      <x:c r="F27" s="66" t="str"/>
    </x:row>
    <x:row r="28" ht="34" customHeight="1">
      <x:c r="A28" s="166" t="str">
        <x:v>S04</x:v>
      </x:c>
      <x:c r="B28" s="66" t="str"/>
      <x:c r="C28" s="66" t="str"/>
      <x:c r="D28" s="66" t="str"/>
      <x:c r="E28" s="66" t="str"/>
      <x:c r="F28" s="66" t="str"/>
    </x:row>
    <x:row r="29" ht="34" customHeight="1">
      <x:c r="A29" s="166" t="str">
        <x:v>S05</x:v>
      </x:c>
      <x:c r="B29" s="66" t="str"/>
      <x:c r="C29" s="66" t="str"/>
      <x:c r="D29" s="66" t="str"/>
      <x:c r="E29" s="66" t="str"/>
      <x:c r="F29" s="66" t="str"/>
    </x:row>
    <x:row r="30" ht="34" customHeight="1">
      <x:c r="A30" s="166" t="str">
        <x:v>S06</x:v>
      </x:c>
      <x:c r="B30" s="66" t="str"/>
      <x:c r="C30" s="66" t="str"/>
      <x:c r="D30" s="66" t="str"/>
      <x:c r="E30" s="66" t="str"/>
      <x:c r="F30" s="66" t="str"/>
    </x:row>
    <x:row r="31" ht="34" customHeight="1">
      <x:c r="A31" s="166" t="str">
        <x:v>S07</x:v>
      </x:c>
      <x:c r="B31" s="66" t="str"/>
      <x:c r="C31" s="66" t="str"/>
      <x:c r="D31" s="66" t="str"/>
      <x:c r="E31" s="66" t="str"/>
      <x:c r="F31" s="66" t="str"/>
    </x:row>
    <x:row r="32" ht="34" customHeight="1">
      <x:c r="A32" s="166" t="str">
        <x:v>S08</x:v>
      </x:c>
      <x:c r="B32" s="66" t="str"/>
      <x:c r="C32" s="66" t="str"/>
      <x:c r="D32" s="66" t="str"/>
      <x:c r="E32" s="66" t="str"/>
      <x:c r="F32" s="66" t="str"/>
    </x:row>
    <x:row r="33" ht="34" customHeight="1">
      <x:c r="A33" s="166" t="str">
        <x:v>S09</x:v>
      </x:c>
      <x:c r="B33" s="66" t="str"/>
      <x:c r="C33" s="66" t="str"/>
      <x:c r="D33" s="66" t="str"/>
      <x:c r="E33" s="66" t="str"/>
      <x:c r="F33" s="66" t="str"/>
    </x:row>
    <x:row r="34" ht="34" customHeight="1">
      <x:c r="A34" s="166" t="str">
        <x:v>S10</x:v>
      </x:c>
      <x:c r="B34" s="66" t="str"/>
      <x:c r="C34" s="66" t="str"/>
      <x:c r="D34" s="66" t="str"/>
      <x:c r="E34" s="66" t="str"/>
      <x:c r="F34" s="66" t="str"/>
    </x:row>
    <x:row r="35">
      <x:c r="A35" s="151"/>
      <x:c r="B35" s="151"/>
      <x:c r="C35" s="151"/>
      <x:c r="D35" s="151"/>
      <x:c r="E35" s="151"/>
      <x:c r="F35" s="151"/>
    </x:row>
    <x:row r="36">
      <x:c r="A36" s="165" t="str">
        <x:v>R1: leg minimaal één heldere acceptatieregel, de critical-error-definitie en relevante gevallen vast. R2–R4: documenteer de volledige rubric, representatieve strata en — waar menselijk oordeel wordt gebruikt — de betrouwbaarheid van de beoordeling. Verander criteria niet stilzwijgend na het zien van resultaten.</x:v>
      </x:c>
      <x:c r="B36" s="165"/>
      <x:c r="C36" s="165"/>
      <x:c r="D36" s="165"/>
      <x:c r="E36" s="165"/>
      <x:c r="F36" s="165"/>
    </x:row>
    <x:row r="37">
      <x:c r="A37" s="165"/>
      <x:c r="B37" s="165"/>
      <x:c r="C37" s="165"/>
      <x:c r="D37" s="165"/>
      <x:c r="E37" s="165"/>
      <x:c r="F37" s="165"/>
    </x:row>
    <x:row r="38">
      <x:c r="A38" s="165"/>
      <x:c r="B38" s="165"/>
      <x:c r="C38" s="165"/>
      <x:c r="D38" s="165"/>
      <x:c r="E38" s="165"/>
      <x:c r="F38" s="165"/>
    </x:row>
    <x:row r="39">
      <x:c r="A39" s="165"/>
      <x:c r="B39" s="165"/>
      <x:c r="C39" s="165"/>
      <x:c r="D39" s="165"/>
      <x:c r="E39" s="165"/>
      <x:c r="F39" s="165"/>
    </x:row>
  </x:sheetData>
  <x:mergeCells>
    <x:mergeCell ref="A1:F1"/>
    <x:mergeCell ref="A2:F2"/>
    <x:mergeCell ref="A4:F4"/>
    <x:mergeCell ref="B6:F6"/>
    <x:mergeCell ref="B7:F7"/>
    <x:mergeCell ref="B8:F8"/>
    <x:mergeCell ref="B9:F9"/>
    <x:mergeCell ref="B10:F10"/>
    <x:mergeCell ref="A12:F12"/>
    <x:mergeCell ref="A22:F22"/>
    <x:mergeCell ref="A36:F39"/>
  </x:mergeCells>
  <x:dataValidations count="3">
    <x:dataValidation type="list" sqref="B10">
      <x:formula1>"Ja,Nee,Gedeeltelijk,N.v.t."</x:formula1>
    </x:dataValidation>
    <x:dataValidation type="list" sqref="E15:E20">
      <x:formula1>"Ja,Nee"</x:formula1>
    </x:dataValidation>
    <x:dataValidation type="list" sqref="E25:E34">
      <x:formula1>"Ja,Nee"</x:formula1>
    </x:dataValidation>
  </x:dataValidations>
  <x:pageMargins left="0.7" right="0.7" top="0.75" bottom="0.75" header="0.3" footer="0.3"/>
  <x:legacyDrawing xmlns:r="http://schemas.openxmlformats.org/officeDocument/2006/relationships" r:id="Rc543254219094744"/>
  <x:tableParts count="2">
    <x:tablePart xmlns:r="http://schemas.openxmlformats.org/officeDocument/2006/relationships" r:id="Rb83ffb18afeb4c5c"/>
    <x:tablePart xmlns:r="http://schemas.openxmlformats.org/officeDocument/2006/relationships" r:id="R7b8b382ea93b42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6" hidden="0" customWidth="1"/>
    <x:col min="4" max="4" width="13" hidden="0" customWidth="1"/>
    <x:col min="5" max="5" width="18" hidden="0" customWidth="1"/>
    <x:col min="6" max="6" width="21" hidden="0" customWidth="1"/>
    <x:col min="7" max="7" width="18" hidden="0" customWidth="1"/>
    <x:col min="8" max="8" width="17" hidden="0" customWidth="1"/>
    <x:col min="9" max="9" width="14" hidden="0" customWidth="1"/>
    <x:col min="10" max="10" width="17" hidden="0" customWidth="1"/>
    <x:col min="11" max="11" width="23" hidden="0" customWidth="1"/>
    <x:col min="12" max="12" width="18" hidden="0" customWidth="1"/>
    <x:col min="13" max="13" width="20" hidden="0" customWidth="1"/>
    <x:col min="14" max="14" width="18" hidden="0" customWidth="1"/>
    <x:col min="15" max="15" width="19" hidden="0" customWidth="1"/>
    <x:col min="16" max="16" width="21" hidden="0" customWidth="1"/>
    <x:col min="17" max="17" width="18" hidden="0" customWidth="1"/>
    <x:col min="18" max="18" width="21" hidden="0" customWidth="1"/>
    <x:col min="19" max="19" width="16" hidden="0" customWidth="1"/>
    <x:col min="20" max="20" width="18" hidden="0" customWidth="1"/>
    <x:col min="21" max="21" width="34" hidden="0" customWidth="1"/>
    <x:col min="22" max="22" width="17" hidden="0" customWidth="1"/>
  </x:cols>
  <x:sheetData>
    <x:row r="1" ht="31" customHeight="1">
      <x:c r="A1" s="149" t="str">
        <x:v>05 · Testcases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149"/>
      <x:c r="L1" s="149"/>
      <x:c r="M1" s="149"/>
      <x:c r="N1" s="149"/>
      <x:c r="O1" s="149"/>
      <x:c r="P1" s="149"/>
      <x:c r="Q1" s="149"/>
      <x:c r="R1" s="149"/>
      <x:c r="S1" s="149"/>
      <x:c r="T1" s="149"/>
      <x:c r="U1" s="149"/>
      <x:c r="V1" s="149"/>
    </x:row>
    <x:row r="2" ht="31" customHeight="1">
      <x:c r="A2" s="150" t="str">
        <x:v>Eén rij per kandidaat × testcase. Consolideer retries en alle lasten in dezelfde rij.</x:v>
      </x:c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  <x:c r="N2" s="150"/>
      <x:c r="O2" s="150"/>
      <x:c r="P2" s="150"/>
      <x:c r="Q2" s="150"/>
      <x:c r="R2" s="150"/>
      <x:c r="S2" s="150"/>
      <x:c r="T2" s="150"/>
      <x:c r="U2" s="150"/>
      <x:c r="V2" s="150"/>
    </x:row>
    <x:row r="3">
      <x:c r="A3" s="50" t="str">
        <x:v>Voeg tabelrijen toe met Tab of plak onder de tabel. Analysebereik: maximaal 2.000 regels. Vul 0 in als een gemeten waarde werkelijk nul is; laat onbekende waarden leeg.</x:v>
      </x:c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  <x:c r="V3" s="50"/>
    </x:row>
    <x:row r="4">
      <x:c r="A4" s="151"/>
      <x:c r="B4" s="151"/>
      <x:c r="C4" s="151"/>
      <x:c r="D4" s="151"/>
      <x:c r="E4" s="151"/>
      <x:c r="F4" s="151"/>
      <x:c r="G4" s="151"/>
      <x:c r="H4" s="151"/>
      <x:c r="I4" s="151"/>
      <x:c r="J4" s="151"/>
      <x:c r="K4" s="151"/>
      <x:c r="L4" s="151"/>
      <x:c r="M4" s="151"/>
      <x:c r="N4" s="151"/>
      <x:c r="O4" s="151"/>
      <x:c r="P4" s="151"/>
      <x:c r="Q4" s="151"/>
      <x:c r="R4" s="151"/>
      <x:c r="S4" s="151"/>
      <x:c r="T4" s="151"/>
      <x:c r="U4" s="151"/>
      <x:c r="V4" s="151"/>
    </x:row>
    <x:row r="5" ht="34" customHeight="1">
      <x:c r="A5" s="159" t="str">
        <x:v>Run_ID</x:v>
      </x:c>
      <x:c r="B5" s="159" t="str">
        <x:v>Candidate_ID</x:v>
      </x:c>
      <x:c r="C5" s="159" t="str">
        <x:v>Test_Case_ID</x:v>
      </x:c>
      <x:c r="D5" s="159" t="str">
        <x:v>Stratum_ID</x:v>
      </x:c>
      <x:c r="E5" s="159" t="str">
        <x:v>Final_Accepted_1_0</x:v>
      </x:c>
      <x:c r="F5" s="159" t="str">
        <x:v>Any_Critical_Error_1_0</x:v>
      </x:c>
      <x:c r="G5" s="159" t="str">
        <x:v>Quality_score_optional</x:v>
      </x:c>
      <x:c r="H5" s="159" t="str">
        <x:v>Model_calls_total</x:v>
      </x:c>
      <x:c r="I5" s="159" t="str">
        <x:v>Retries_total</x:v>
      </x:c>
      <x:c r="J5" s="159" t="str">
        <x:v>Verify_min_total</x:v>
      </x:c>
      <x:c r="K5" s="159" t="str">
        <x:v>Correct_recover_min_total</x:v>
      </x:c>
      <x:c r="L5" s="159" t="str">
        <x:v>Latency_sec_total</x:v>
      </x:c>
      <x:c r="M5" s="159" t="str">
        <x:v>Direct_cost_EUR_total</x:v>
      </x:c>
      <x:c r="N5" s="159" t="str">
        <x:v>Input_tokens_total</x:v>
      </x:c>
      <x:c r="O5" s="159" t="str">
        <x:v>Output_tokens_total</x:v>
      </x:c>
      <x:c r="P5" s="159" t="str">
        <x:v>Reasoning_tokens_total</x:v>
      </x:c>
      <x:c r="Q5" s="159" t="str">
        <x:v>Energy_kWh_total</x:v>
      </x:c>
      <x:c r="R5" s="159" t="str">
        <x:v>Carbon_gCO2e_total</x:v>
      </x:c>
      <x:c r="S5" s="159" t="str">
        <x:v>Water_L_total</x:v>
      </x:c>
      <x:c r="T5" s="159" t="str">
        <x:v>Evidence_ID</x:v>
      </x:c>
      <x:c r="U5" s="159" t="str">
        <x:v>Notes</x:v>
      </x:c>
      <x:c r="V5" s="159" t="str">
        <x:v>Rijcontrole</x:v>
      </x:c>
    </x:row>
    <x:row r="6" ht="34" customHeight="1">
      <x:c r="A6" s="66" t="str"/>
      <x:c r="B6" s="66" t="str"/>
      <x:c r="C6" s="66" t="str"/>
      <x:c r="D6" s="66" t="str"/>
      <x:c r="E6" s="66" t="str"/>
      <x:c r="F6" s="66" t="str"/>
      <x:c r="G6" s="72" t="str"/>
      <x:c r="H6" s="73" t="str"/>
      <x:c r="I6" s="73" t="str"/>
      <x:c r="J6" s="109" t="str"/>
      <x:c r="K6" s="109" t="str"/>
      <x:c r="L6" s="109" t="str"/>
      <x:c r="M6" s="109" t="str"/>
      <x:c r="N6" s="109" t="str"/>
      <x:c r="O6" s="109" t="str"/>
      <x:c r="P6" s="109" t="str"/>
      <x:c r="Q6" s="109" t="str"/>
      <x:c r="R6" s="109" t="str"/>
      <x:c r="S6" s="109" t="str"/>
      <x:c r="T6" s="66" t="str"/>
      <x:c r="U6" s="66" t="str"/>
      <x:c r="V6" s="70" t="str">
        <x:f>IF(B6="","",IF(OR(C6="",E6="",F6=""),"INCOMPLETE",IF(COUNTIFS($B$6:$B$2005,B6,$C$6:$C$2005,C6)&gt;1,"DUPLICATE","OK")))</x:f>
      </x:c>
    </x:row>
    <x:row r="7" ht="34" customHeight="1">
      <x:c r="A7" s="66" t="str"/>
      <x:c r="B7" s="66" t="str"/>
      <x:c r="C7" s="66" t="str"/>
      <x:c r="D7" s="66" t="str"/>
      <x:c r="E7" s="66" t="str"/>
      <x:c r="F7" s="66" t="str"/>
      <x:c r="G7" s="72" t="str"/>
      <x:c r="H7" s="73" t="str"/>
      <x:c r="I7" s="73" t="str"/>
      <x:c r="J7" s="109" t="str"/>
      <x:c r="K7" s="109" t="str"/>
      <x:c r="L7" s="109" t="str"/>
      <x:c r="M7" s="109" t="str"/>
      <x:c r="N7" s="109" t="str"/>
      <x:c r="O7" s="109" t="str"/>
      <x:c r="P7" s="109" t="str"/>
      <x:c r="Q7" s="109" t="str"/>
      <x:c r="R7" s="109" t="str"/>
      <x:c r="S7" s="109" t="str"/>
      <x:c r="T7" s="66" t="str"/>
      <x:c r="U7" s="66" t="str"/>
      <x:c r="V7" s="70" t="str">
        <x:f>IF(B7="","",IF(OR(C7="",E7="",F7=""),"INCOMPLETE",IF(COUNTIFS($B$6:$B$2005,B7,$C$6:$C$2005,C7)&gt;1,"DUPLICATE","OK")))</x:f>
      </x:c>
    </x:row>
    <x:row r="8" ht="34" customHeight="1">
      <x:c r="A8" s="66" t="str"/>
      <x:c r="B8" s="66" t="str"/>
      <x:c r="C8" s="66" t="str"/>
      <x:c r="D8" s="66" t="str"/>
      <x:c r="E8" s="66" t="str"/>
      <x:c r="F8" s="66" t="str"/>
      <x:c r="G8" s="72" t="str"/>
      <x:c r="H8" s="73" t="str"/>
      <x:c r="I8" s="73" t="str"/>
      <x:c r="J8" s="109" t="str"/>
      <x:c r="K8" s="109" t="str"/>
      <x:c r="L8" s="109" t="str"/>
      <x:c r="M8" s="109" t="str"/>
      <x:c r="N8" s="109" t="str"/>
      <x:c r="O8" s="109" t="str"/>
      <x:c r="P8" s="109" t="str"/>
      <x:c r="Q8" s="109" t="str"/>
      <x:c r="R8" s="109" t="str"/>
      <x:c r="S8" s="109" t="str"/>
      <x:c r="T8" s="66" t="str"/>
      <x:c r="U8" s="66" t="str"/>
      <x:c r="V8" s="70" t="str">
        <x:f>IF(B8="","",IF(OR(C8="",E8="",F8=""),"INCOMPLETE",IF(COUNTIFS($B$6:$B$2005,B8,$C$6:$C$2005,C8)&gt;1,"DUPLICATE","OK")))</x:f>
      </x:c>
    </x:row>
    <x:row r="9" ht="34" customHeight="1">
      <x:c r="A9" s="66" t="str"/>
      <x:c r="B9" s="66" t="str"/>
      <x:c r="C9" s="66" t="str"/>
      <x:c r="D9" s="66" t="str"/>
      <x:c r="E9" s="66" t="str"/>
      <x:c r="F9" s="66" t="str"/>
      <x:c r="G9" s="72" t="str"/>
      <x:c r="H9" s="73" t="str"/>
      <x:c r="I9" s="73" t="str"/>
      <x:c r="J9" s="109" t="str"/>
      <x:c r="K9" s="109" t="str"/>
      <x:c r="L9" s="109" t="str"/>
      <x:c r="M9" s="109" t="str"/>
      <x:c r="N9" s="109" t="str"/>
      <x:c r="O9" s="109" t="str"/>
      <x:c r="P9" s="109" t="str"/>
      <x:c r="Q9" s="109" t="str"/>
      <x:c r="R9" s="109" t="str"/>
      <x:c r="S9" s="109" t="str"/>
      <x:c r="T9" s="66" t="str"/>
      <x:c r="U9" s="66" t="str"/>
      <x:c r="V9" s="70" t="str">
        <x:f>IF(B9="","",IF(OR(C9="",E9="",F9=""),"INCOMPLETE",IF(COUNTIFS($B$6:$B$2005,B9,$C$6:$C$2005,C9)&gt;1,"DUPLICATE","OK")))</x:f>
      </x:c>
    </x:row>
    <x:row r="10" ht="34" customHeight="1">
      <x:c r="A10" s="66" t="str"/>
      <x:c r="B10" s="66" t="str"/>
      <x:c r="C10" s="66" t="str"/>
      <x:c r="D10" s="66" t="str"/>
      <x:c r="E10" s="66" t="str"/>
      <x:c r="F10" s="66" t="str"/>
      <x:c r="G10" s="72" t="str"/>
      <x:c r="H10" s="73" t="str"/>
      <x:c r="I10" s="73" t="str"/>
      <x:c r="J10" s="109" t="str"/>
      <x:c r="K10" s="109" t="str"/>
      <x:c r="L10" s="109" t="str"/>
      <x:c r="M10" s="109" t="str"/>
      <x:c r="N10" s="109" t="str"/>
      <x:c r="O10" s="109" t="str"/>
      <x:c r="P10" s="109" t="str"/>
      <x:c r="Q10" s="109" t="str"/>
      <x:c r="R10" s="109" t="str"/>
      <x:c r="S10" s="109" t="str"/>
      <x:c r="T10" s="66" t="str"/>
      <x:c r="U10" s="66" t="str"/>
      <x:c r="V10" s="70" t="str">
        <x:f>IF(B10="","",IF(OR(C10="",E10="",F10=""),"INCOMPLETE",IF(COUNTIFS($B$6:$B$2005,B10,$C$6:$C$2005,C10)&gt;1,"DUPLICATE","OK")))</x:f>
      </x:c>
    </x:row>
    <x:row r="11" ht="34" customHeight="1">
      <x:c r="A11" s="66" t="str"/>
      <x:c r="B11" s="66" t="str"/>
      <x:c r="C11" s="66" t="str"/>
      <x:c r="D11" s="66" t="str"/>
      <x:c r="E11" s="66" t="str"/>
      <x:c r="F11" s="66" t="str"/>
      <x:c r="G11" s="72" t="str"/>
      <x:c r="H11" s="73" t="str"/>
      <x:c r="I11" s="73" t="str"/>
      <x:c r="J11" s="109" t="str"/>
      <x:c r="K11" s="109" t="str"/>
      <x:c r="L11" s="109" t="str"/>
      <x:c r="M11" s="109" t="str"/>
      <x:c r="N11" s="109" t="str"/>
      <x:c r="O11" s="109" t="str"/>
      <x:c r="P11" s="109" t="str"/>
      <x:c r="Q11" s="109" t="str"/>
      <x:c r="R11" s="109" t="str"/>
      <x:c r="S11" s="109" t="str"/>
      <x:c r="T11" s="66" t="str"/>
      <x:c r="U11" s="66" t="str"/>
      <x:c r="V11" s="70" t="str">
        <x:f>IF(B11="","",IF(OR(C11="",E11="",F11=""),"INCOMPLETE",IF(COUNTIFS($B$6:$B$2005,B11,$C$6:$C$2005,C11)&gt;1,"DUPLICATE","OK")))</x:f>
      </x:c>
    </x:row>
    <x:row r="12" ht="34" customHeight="1">
      <x:c r="A12" s="66" t="str"/>
      <x:c r="B12" s="66" t="str"/>
      <x:c r="C12" s="66" t="str"/>
      <x:c r="D12" s="66" t="str"/>
      <x:c r="E12" s="66" t="str"/>
      <x:c r="F12" s="66" t="str"/>
      <x:c r="G12" s="72" t="str"/>
      <x:c r="H12" s="73" t="str"/>
      <x:c r="I12" s="73" t="str"/>
      <x:c r="J12" s="109" t="str"/>
      <x:c r="K12" s="109" t="str"/>
      <x:c r="L12" s="109" t="str"/>
      <x:c r="M12" s="109" t="str"/>
      <x:c r="N12" s="109" t="str"/>
      <x:c r="O12" s="109" t="str"/>
      <x:c r="P12" s="109" t="str"/>
      <x:c r="Q12" s="109" t="str"/>
      <x:c r="R12" s="109" t="str"/>
      <x:c r="S12" s="109" t="str"/>
      <x:c r="T12" s="66" t="str"/>
      <x:c r="U12" s="66" t="str"/>
      <x:c r="V12" s="70" t="str">
        <x:f>IF(B12="","",IF(OR(C12="",E12="",F12=""),"INCOMPLETE",IF(COUNTIFS($B$6:$B$2005,B12,$C$6:$C$2005,C12)&gt;1,"DUPLICATE","OK")))</x:f>
      </x:c>
    </x:row>
    <x:row r="13" ht="34" customHeight="1">
      <x:c r="A13" s="66" t="str"/>
      <x:c r="B13" s="66" t="str"/>
      <x:c r="C13" s="66" t="str"/>
      <x:c r="D13" s="66" t="str"/>
      <x:c r="E13" s="66" t="str"/>
      <x:c r="F13" s="66" t="str"/>
      <x:c r="G13" s="72" t="str"/>
      <x:c r="H13" s="73" t="str"/>
      <x:c r="I13" s="73" t="str"/>
      <x:c r="J13" s="109" t="str"/>
      <x:c r="K13" s="109" t="str"/>
      <x:c r="L13" s="109" t="str"/>
      <x:c r="M13" s="109" t="str"/>
      <x:c r="N13" s="109" t="str"/>
      <x:c r="O13" s="109" t="str"/>
      <x:c r="P13" s="109" t="str"/>
      <x:c r="Q13" s="109" t="str"/>
      <x:c r="R13" s="109" t="str"/>
      <x:c r="S13" s="109" t="str"/>
      <x:c r="T13" s="66" t="str"/>
      <x:c r="U13" s="66" t="str"/>
      <x:c r="V13" s="70" t="str">
        <x:f>IF(B13="","",IF(OR(C13="",E13="",F13=""),"INCOMPLETE",IF(COUNTIFS($B$6:$B$2005,B13,$C$6:$C$2005,C13)&gt;1,"DUPLICATE","OK")))</x:f>
      </x:c>
    </x:row>
    <x:row r="14" ht="34" customHeight="1">
      <x:c r="A14" s="66" t="str"/>
      <x:c r="B14" s="66" t="str"/>
      <x:c r="C14" s="66" t="str"/>
      <x:c r="D14" s="66" t="str"/>
      <x:c r="E14" s="66" t="str"/>
      <x:c r="F14" s="66" t="str"/>
      <x:c r="G14" s="72" t="str"/>
      <x:c r="H14" s="73" t="str"/>
      <x:c r="I14" s="73" t="str"/>
      <x:c r="J14" s="109" t="str"/>
      <x:c r="K14" s="109" t="str"/>
      <x:c r="L14" s="109" t="str"/>
      <x:c r="M14" s="109" t="str"/>
      <x:c r="N14" s="109" t="str"/>
      <x:c r="O14" s="109" t="str"/>
      <x:c r="P14" s="109" t="str"/>
      <x:c r="Q14" s="109" t="str"/>
      <x:c r="R14" s="109" t="str"/>
      <x:c r="S14" s="109" t="str"/>
      <x:c r="T14" s="66" t="str"/>
      <x:c r="U14" s="66" t="str"/>
      <x:c r="V14" s="70" t="str">
        <x:f>IF(B14="","",IF(OR(C14="",E14="",F14=""),"INCOMPLETE",IF(COUNTIFS($B$6:$B$2005,B14,$C$6:$C$2005,C14)&gt;1,"DUPLICATE","OK")))</x:f>
      </x:c>
    </x:row>
    <x:row r="15" ht="34" customHeight="1">
      <x:c r="A15" s="66" t="str"/>
      <x:c r="B15" s="66" t="str"/>
      <x:c r="C15" s="66" t="str"/>
      <x:c r="D15" s="66" t="str"/>
      <x:c r="E15" s="66" t="str"/>
      <x:c r="F15" s="66" t="str"/>
      <x:c r="G15" s="72" t="str"/>
      <x:c r="H15" s="73" t="str"/>
      <x:c r="I15" s="73" t="str"/>
      <x:c r="J15" s="109" t="str"/>
      <x:c r="K15" s="109" t="str"/>
      <x:c r="L15" s="109" t="str"/>
      <x:c r="M15" s="109" t="str"/>
      <x:c r="N15" s="109" t="str"/>
      <x:c r="O15" s="109" t="str"/>
      <x:c r="P15" s="109" t="str"/>
      <x:c r="Q15" s="109" t="str"/>
      <x:c r="R15" s="109" t="str"/>
      <x:c r="S15" s="109" t="str"/>
      <x:c r="T15" s="66" t="str"/>
      <x:c r="U15" s="66" t="str"/>
      <x:c r="V15" s="70" t="str">
        <x:f>IF(B15="","",IF(OR(C15="",E15="",F15=""),"INCOMPLETE",IF(COUNTIFS($B$6:$B$2005,B15,$C$6:$C$2005,C15)&gt;1,"DUPLICATE","OK")))</x:f>
      </x:c>
    </x:row>
    <x:row r="16" ht="34" customHeight="1">
      <x:c r="A16" s="66" t="str"/>
      <x:c r="B16" s="66" t="str"/>
      <x:c r="C16" s="66" t="str"/>
      <x:c r="D16" s="66" t="str"/>
      <x:c r="E16" s="66" t="str"/>
      <x:c r="F16" s="66" t="str"/>
      <x:c r="G16" s="72" t="str"/>
      <x:c r="H16" s="73" t="str"/>
      <x:c r="I16" s="73" t="str"/>
      <x:c r="J16" s="109" t="str"/>
      <x:c r="K16" s="109" t="str"/>
      <x:c r="L16" s="109" t="str"/>
      <x:c r="M16" s="109" t="str"/>
      <x:c r="N16" s="109" t="str"/>
      <x:c r="O16" s="109" t="str"/>
      <x:c r="P16" s="109" t="str"/>
      <x:c r="Q16" s="109" t="str"/>
      <x:c r="R16" s="109" t="str"/>
      <x:c r="S16" s="109" t="str"/>
      <x:c r="T16" s="66" t="str"/>
      <x:c r="U16" s="66" t="str"/>
      <x:c r="V16" s="70" t="str">
        <x:f>IF(B16="","",IF(OR(C16="",E16="",F16=""),"INCOMPLETE",IF(COUNTIFS($B$6:$B$2005,B16,$C$6:$C$2005,C16)&gt;1,"DUPLICATE","OK")))</x:f>
      </x:c>
    </x:row>
    <x:row r="17" ht="34" customHeight="1">
      <x:c r="A17" s="66" t="str"/>
      <x:c r="B17" s="66" t="str"/>
      <x:c r="C17" s="66" t="str"/>
      <x:c r="D17" s="66" t="str"/>
      <x:c r="E17" s="66" t="str"/>
      <x:c r="F17" s="66" t="str"/>
      <x:c r="G17" s="72" t="str"/>
      <x:c r="H17" s="73" t="str"/>
      <x:c r="I17" s="73" t="str"/>
      <x:c r="J17" s="109" t="str"/>
      <x:c r="K17" s="109" t="str"/>
      <x:c r="L17" s="109" t="str"/>
      <x:c r="M17" s="109" t="str"/>
      <x:c r="N17" s="109" t="str"/>
      <x:c r="O17" s="109" t="str"/>
      <x:c r="P17" s="109" t="str"/>
      <x:c r="Q17" s="109" t="str"/>
      <x:c r="R17" s="109" t="str"/>
      <x:c r="S17" s="109" t="str"/>
      <x:c r="T17" s="66" t="str"/>
      <x:c r="U17" s="66" t="str"/>
      <x:c r="V17" s="70" t="str">
        <x:f>IF(B17="","",IF(OR(C17="",E17="",F17=""),"INCOMPLETE",IF(COUNTIFS($B$6:$B$2005,B17,$C$6:$C$2005,C17)&gt;1,"DUPLICATE","OK")))</x:f>
      </x:c>
    </x:row>
    <x:row r="18" ht="34" customHeight="1">
      <x:c r="A18" s="66" t="str"/>
      <x:c r="B18" s="66" t="str"/>
      <x:c r="C18" s="66" t="str"/>
      <x:c r="D18" s="66" t="str"/>
      <x:c r="E18" s="66" t="str"/>
      <x:c r="F18" s="66" t="str"/>
      <x:c r="G18" s="72" t="str"/>
      <x:c r="H18" s="73" t="str"/>
      <x:c r="I18" s="73" t="str"/>
      <x:c r="J18" s="109" t="str"/>
      <x:c r="K18" s="109" t="str"/>
      <x:c r="L18" s="109" t="str"/>
      <x:c r="M18" s="109" t="str"/>
      <x:c r="N18" s="109" t="str"/>
      <x:c r="O18" s="109" t="str"/>
      <x:c r="P18" s="109" t="str"/>
      <x:c r="Q18" s="109" t="str"/>
      <x:c r="R18" s="109" t="str"/>
      <x:c r="S18" s="109" t="str"/>
      <x:c r="T18" s="66" t="str"/>
      <x:c r="U18" s="66" t="str"/>
      <x:c r="V18" s="70" t="str">
        <x:f>IF(B18="","",IF(OR(C18="",E18="",F18=""),"INCOMPLETE",IF(COUNTIFS($B$6:$B$2005,B18,$C$6:$C$2005,C18)&gt;1,"DUPLICATE","OK")))</x:f>
      </x:c>
    </x:row>
    <x:row r="19" ht="34" customHeight="1">
      <x:c r="A19" s="66" t="str"/>
      <x:c r="B19" s="66" t="str"/>
      <x:c r="C19" s="66" t="str"/>
      <x:c r="D19" s="66" t="str"/>
      <x:c r="E19" s="66" t="str"/>
      <x:c r="F19" s="66" t="str"/>
      <x:c r="G19" s="72" t="str"/>
      <x:c r="H19" s="73" t="str"/>
      <x:c r="I19" s="73" t="str"/>
      <x:c r="J19" s="109" t="str"/>
      <x:c r="K19" s="109" t="str"/>
      <x:c r="L19" s="109" t="str"/>
      <x:c r="M19" s="109" t="str"/>
      <x:c r="N19" s="109" t="str"/>
      <x:c r="O19" s="109" t="str"/>
      <x:c r="P19" s="109" t="str"/>
      <x:c r="Q19" s="109" t="str"/>
      <x:c r="R19" s="109" t="str"/>
      <x:c r="S19" s="109" t="str"/>
      <x:c r="T19" s="66" t="str"/>
      <x:c r="U19" s="66" t="str"/>
      <x:c r="V19" s="70" t="str">
        <x:f>IF(B19="","",IF(OR(C19="",E19="",F19=""),"INCOMPLETE",IF(COUNTIFS($B$6:$B$2005,B19,$C$6:$C$2005,C19)&gt;1,"DUPLICATE","OK")))</x:f>
      </x:c>
    </x:row>
    <x:row r="20" ht="34" customHeight="1">
      <x:c r="A20" s="66" t="str"/>
      <x:c r="B20" s="66" t="str"/>
      <x:c r="C20" s="66" t="str"/>
      <x:c r="D20" s="66" t="str"/>
      <x:c r="E20" s="66" t="str"/>
      <x:c r="F20" s="66" t="str"/>
      <x:c r="G20" s="72" t="str"/>
      <x:c r="H20" s="73" t="str"/>
      <x:c r="I20" s="73" t="str"/>
      <x:c r="J20" s="109" t="str"/>
      <x:c r="K20" s="109" t="str"/>
      <x:c r="L20" s="109" t="str"/>
      <x:c r="M20" s="109" t="str"/>
      <x:c r="N20" s="109" t="str"/>
      <x:c r="O20" s="109" t="str"/>
      <x:c r="P20" s="109" t="str"/>
      <x:c r="Q20" s="109" t="str"/>
      <x:c r="R20" s="109" t="str"/>
      <x:c r="S20" s="109" t="str"/>
      <x:c r="T20" s="66" t="str"/>
      <x:c r="U20" s="66" t="str"/>
      <x:c r="V20" s="70" t="str">
        <x:f>IF(B20="","",IF(OR(C20="",E20="",F20=""),"INCOMPLETE",IF(COUNTIFS($B$6:$B$2005,B20,$C$6:$C$2005,C20)&gt;1,"DUPLICATE","OK")))</x:f>
      </x:c>
    </x:row>
    <x:row r="21" ht="34" customHeight="1">
      <x:c r="A21" s="66" t="str"/>
      <x:c r="B21" s="66" t="str"/>
      <x:c r="C21" s="66" t="str"/>
      <x:c r="D21" s="66" t="str"/>
      <x:c r="E21" s="66" t="str"/>
      <x:c r="F21" s="66" t="str"/>
      <x:c r="G21" s="72" t="str"/>
      <x:c r="H21" s="73" t="str"/>
      <x:c r="I21" s="73" t="str"/>
      <x:c r="J21" s="109" t="str"/>
      <x:c r="K21" s="109" t="str"/>
      <x:c r="L21" s="109" t="str"/>
      <x:c r="M21" s="109" t="str"/>
      <x:c r="N21" s="109" t="str"/>
      <x:c r="O21" s="109" t="str"/>
      <x:c r="P21" s="109" t="str"/>
      <x:c r="Q21" s="109" t="str"/>
      <x:c r="R21" s="109" t="str"/>
      <x:c r="S21" s="109" t="str"/>
      <x:c r="T21" s="66" t="str"/>
      <x:c r="U21" s="66" t="str"/>
      <x:c r="V21" s="70" t="str">
        <x:f>IF(B21="","",IF(OR(C21="",E21="",F21=""),"INCOMPLETE",IF(COUNTIFS($B$6:$B$2005,B21,$C$6:$C$2005,C21)&gt;1,"DUPLICATE","OK")))</x:f>
      </x:c>
    </x:row>
    <x:row r="22" ht="34" customHeight="1">
      <x:c r="A22" s="66" t="str"/>
      <x:c r="B22" s="66" t="str"/>
      <x:c r="C22" s="66" t="str"/>
      <x:c r="D22" s="66" t="str"/>
      <x:c r="E22" s="66" t="str"/>
      <x:c r="F22" s="66" t="str"/>
      <x:c r="G22" s="72" t="str"/>
      <x:c r="H22" s="73" t="str"/>
      <x:c r="I22" s="73" t="str"/>
      <x:c r="J22" s="109" t="str"/>
      <x:c r="K22" s="109" t="str"/>
      <x:c r="L22" s="109" t="str"/>
      <x:c r="M22" s="109" t="str"/>
      <x:c r="N22" s="109" t="str"/>
      <x:c r="O22" s="109" t="str"/>
      <x:c r="P22" s="109" t="str"/>
      <x:c r="Q22" s="109" t="str"/>
      <x:c r="R22" s="109" t="str"/>
      <x:c r="S22" s="109" t="str"/>
      <x:c r="T22" s="66" t="str"/>
      <x:c r="U22" s="66" t="str"/>
      <x:c r="V22" s="70" t="str">
        <x:f>IF(B22="","",IF(OR(C22="",E22="",F22=""),"INCOMPLETE",IF(COUNTIFS($B$6:$B$2005,B22,$C$6:$C$2005,C22)&gt;1,"DUPLICATE","OK")))</x:f>
      </x:c>
    </x:row>
    <x:row r="23" ht="34" customHeight="1">
      <x:c r="A23" s="66" t="str"/>
      <x:c r="B23" s="66" t="str"/>
      <x:c r="C23" s="66" t="str"/>
      <x:c r="D23" s="66" t="str"/>
      <x:c r="E23" s="66" t="str"/>
      <x:c r="F23" s="66" t="str"/>
      <x:c r="G23" s="72" t="str"/>
      <x:c r="H23" s="73" t="str"/>
      <x:c r="I23" s="73" t="str"/>
      <x:c r="J23" s="109" t="str"/>
      <x:c r="K23" s="109" t="str"/>
      <x:c r="L23" s="109" t="str"/>
      <x:c r="M23" s="109" t="str"/>
      <x:c r="N23" s="109" t="str"/>
      <x:c r="O23" s="109" t="str"/>
      <x:c r="P23" s="109" t="str"/>
      <x:c r="Q23" s="109" t="str"/>
      <x:c r="R23" s="109" t="str"/>
      <x:c r="S23" s="109" t="str"/>
      <x:c r="T23" s="66" t="str"/>
      <x:c r="U23" s="66" t="str"/>
      <x:c r="V23" s="70" t="str">
        <x:f>IF(B23="","",IF(OR(C23="",E23="",F23=""),"INCOMPLETE",IF(COUNTIFS($B$6:$B$2005,B23,$C$6:$C$2005,C23)&gt;1,"DUPLICATE","OK")))</x:f>
      </x:c>
    </x:row>
    <x:row r="24" ht="34" customHeight="1">
      <x:c r="A24" s="66" t="str"/>
      <x:c r="B24" s="66" t="str"/>
      <x:c r="C24" s="66" t="str"/>
      <x:c r="D24" s="66" t="str"/>
      <x:c r="E24" s="66" t="str"/>
      <x:c r="F24" s="66" t="str"/>
      <x:c r="G24" s="72" t="str"/>
      <x:c r="H24" s="73" t="str"/>
      <x:c r="I24" s="73" t="str"/>
      <x:c r="J24" s="109" t="str"/>
      <x:c r="K24" s="109" t="str"/>
      <x:c r="L24" s="109" t="str"/>
      <x:c r="M24" s="109" t="str"/>
      <x:c r="N24" s="109" t="str"/>
      <x:c r="O24" s="109" t="str"/>
      <x:c r="P24" s="109" t="str"/>
      <x:c r="Q24" s="109" t="str"/>
      <x:c r="R24" s="109" t="str"/>
      <x:c r="S24" s="109" t="str"/>
      <x:c r="T24" s="66" t="str"/>
      <x:c r="U24" s="66" t="str"/>
      <x:c r="V24" s="70" t="str">
        <x:f>IF(B24="","",IF(OR(C24="",E24="",F24=""),"INCOMPLETE",IF(COUNTIFS($B$6:$B$2005,B24,$C$6:$C$2005,C24)&gt;1,"DUPLICATE","OK")))</x:f>
      </x:c>
    </x:row>
    <x:row r="25" ht="34" customHeight="1">
      <x:c r="A25" s="66" t="str"/>
      <x:c r="B25" s="66" t="str"/>
      <x:c r="C25" s="66" t="str"/>
      <x:c r="D25" s="66" t="str"/>
      <x:c r="E25" s="66" t="str"/>
      <x:c r="F25" s="66" t="str"/>
      <x:c r="G25" s="72" t="str"/>
      <x:c r="H25" s="73" t="str"/>
      <x:c r="I25" s="73" t="str"/>
      <x:c r="J25" s="109" t="str"/>
      <x:c r="K25" s="109" t="str"/>
      <x:c r="L25" s="109" t="str"/>
      <x:c r="M25" s="109" t="str"/>
      <x:c r="N25" s="109" t="str"/>
      <x:c r="O25" s="109" t="str"/>
      <x:c r="P25" s="109" t="str"/>
      <x:c r="Q25" s="109" t="str"/>
      <x:c r="R25" s="109" t="str"/>
      <x:c r="S25" s="109" t="str"/>
      <x:c r="T25" s="66" t="str"/>
      <x:c r="U25" s="66" t="str"/>
      <x:c r="V25" s="70" t="str">
        <x:f>IF(B25="","",IF(OR(C25="",E25="",F25=""),"INCOMPLETE",IF(COUNTIFS($B$6:$B$2005,B25,$C$6:$C$2005,C25)&gt;1,"DUPLICATE","OK")))</x:f>
      </x:c>
    </x:row>
  </x:sheetData>
  <x:mergeCells>
    <x:mergeCell ref="A1:V1"/>
    <x:mergeCell ref="A2:V2"/>
    <x:mergeCell ref="A3:V3"/>
  </x:mergeCells>
  <x:conditionalFormatting sqref="V6:V25">
    <x:cfRule type="containsText" dxfId="24" priority="1" operator="containsText" text="PASS"/>
    <x:cfRule type="containsText" dxfId="25" priority="2" operator="containsText" text="READY"/>
    <x:cfRule type="containsText" dxfId="26" priority="3" operator="containsText" text="MORE EVIDENCE"/>
    <x:cfRule type="containsText" dxfId="27" priority="4" operator="containsText" text="CONDIT"/>
    <x:cfRule type="containsText" dxfId="28" priority="5" operator="containsText" text="HOLD"/>
    <x:cfRule type="containsText" dxfId="29" priority="6" operator="containsText" text="INCOMPLETE"/>
    <x:cfRule type="containsText" dxfId="30" priority="7" operator="containsText" text="FAIL"/>
    <x:cfRule type="containsText" dxfId="31" priority="8" operator="containsText" text="NOT ELIGIBLE"/>
  </x:conditionalFormatting>
  <x:dataValidations count="3">
    <x:dataValidation type="list" sqref="B6:B25">
      <x:formula1>"C01,C02,C03,C04,C05,C06,C07,C08"</x:formula1>
    </x:dataValidation>
    <x:dataValidation type="list" sqref="D6:D25">
      <x:formula1>"S01,S02,S03,S04,S05,S06,S07,S08,S09,S10"</x:formula1>
    </x:dataValidation>
    <x:dataValidation type="list" sqref="E6:F25">
      <x:formula1>"0,1"</x:formula1>
    </x:dataValidation>
  </x:dataValidations>
  <x:pageMargins left="0.7" right="0.7" top="0.75" bottom="0.75" header="0.3" footer="0.3"/>
  <x:legacyDrawing xmlns:r="http://schemas.openxmlformats.org/officeDocument/2006/relationships" r:id="Rba45b6af1970417a"/>
  <x:tableParts count="1">
    <x:tablePart xmlns:r="http://schemas.openxmlformats.org/officeDocument/2006/relationships" r:id="R1a913bbc230a4c0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21" hidden="0" customWidth="1"/>
    <x:col min="4" max="4" width="15" hidden="0" customWidth="1"/>
    <x:col min="5" max="5" width="15" hidden="0" customWidth="1"/>
    <x:col min="6" max="6" width="17" hidden="0" customWidth="1"/>
    <x:col min="7" max="7" width="15" hidden="0" customWidth="1"/>
    <x:col min="8" max="8" width="13" hidden="0" customWidth="1"/>
    <x:col min="9" max="9" width="14" hidden="0" customWidth="1"/>
    <x:col min="10" max="10" width="15" hidden="0" customWidth="1"/>
    <x:col min="11" max="11" width="14" hidden="0" customWidth="1"/>
    <x:col min="12" max="12" width="14" hidden="0" customWidth="1"/>
    <x:col min="13" max="13" width="15" hidden="0" customWidth="1"/>
    <x:col min="14" max="14" width="18" hidden="0" customWidth="1"/>
    <x:col min="15" max="15" width="20" hidden="0" customWidth="1"/>
    <x:col min="16" max="16" width="21" hidden="0" customWidth="1"/>
    <x:col min="17" max="17" width="43" hidden="0" customWidth="1"/>
  </x:cols>
  <x:sheetData>
    <x:row r="1" ht="31" customHeight="1">
      <x:c r="A1" s="149" t="str">
        <x:v>06 · Analyse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149"/>
      <x:c r="L1" s="149"/>
      <x:c r="M1" s="149"/>
      <x:c r="N1" s="149"/>
      <x:c r="O1" s="149"/>
      <x:c r="P1" s="149"/>
      <x:c r="Q1" s="149"/>
    </x:row>
    <x:row r="2" ht="31" customHeight="1">
      <x:c r="A2" s="150" t="str">
        <x:v>Poort 2 onderscheidt aantoonbaar falen van nog onvoldoende bewijs.</x:v>
      </x:c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  <x:c r="N2" s="150"/>
      <x:c r="O2" s="150"/>
      <x:c r="P2" s="150"/>
      <x:c r="Q2" s="150"/>
    </x:row>
    <x:row r="3">
      <x:c r="A3" s="151"/>
      <x:c r="B3" s="151"/>
      <x:c r="C3" s="151"/>
      <x:c r="D3" s="151"/>
      <x:c r="E3" s="151"/>
      <x:c r="F3" s="151"/>
      <x:c r="G3" s="151"/>
      <x:c r="H3" s="151"/>
      <x:c r="I3" s="151"/>
      <x:c r="J3" s="151"/>
      <x:c r="K3" s="151"/>
      <x:c r="L3" s="151"/>
      <x:c r="M3" s="151"/>
      <x:c r="N3" s="151"/>
      <x:c r="O3" s="151"/>
      <x:c r="P3" s="151"/>
      <x:c r="Q3" s="151"/>
    </x:row>
    <x:row r="4" ht="39" customHeight="1">
      <x:c r="A4" s="159" t="str">
        <x:v>Kandidaat-ID</x:v>
      </x:c>
      <x:c r="B4" s="159" t="str">
        <x:v>Naam</x:v>
      </x:c>
      <x:c r="C4" s="159" t="str">
        <x:v>Poort 1</x:v>
      </x:c>
      <x:c r="D4" s="159" t="str">
        <x:v>Rijen ingevoerd</x:v>
      </x:c>
      <x:c r="E4" s="159" t="str">
        <x:v>Complete taken</x:v>
      </x:c>
      <x:c r="F4" s="159" t="str">
        <x:v>Incomplete velden</x:v>
      </x:c>
      <x:c r="G4" s="159" t="str">
        <x:v>Geaccepteerd</x:v>
      </x:c>
      <x:c r="H4" s="159" t="str">
        <x:v>Succes</x:v>
      </x:c>
      <x:c r="I4" s="159" t="str">
        <x:v>Wilson LCB</x:v>
      </x:c>
      <x:c r="J4" s="159" t="str">
        <x:v>Critical errors</x:v>
      </x:c>
      <x:c r="K4" s="159" t="str">
        <x:v>Critical rate</x:v>
      </x:c>
      <x:c r="L4" s="159" t="str">
        <x:v>Wilson UCB</x:v>
      </x:c>
      <x:c r="M4" s="159" t="str">
        <x:v>Bewijsbodem n</x:v>
      </x:c>
      <x:c r="N4" s="159" t="str">
        <x:v>Dekking compleet?</x:v>
      </x:c>
      <x:c r="O4" s="159" t="str">
        <x:v>Rubric betrouwbaar?</x:v>
      </x:c>
      <x:c r="P4" s="159" t="str">
        <x:v>Poort 2</x:v>
      </x:c>
      <x:c r="Q4" s="159" t="str">
        <x:v>Uitleg</x:v>
      </x:c>
    </x:row>
    <x:row r="5" ht="39" customHeight="1">
      <x:c r="A5" s="70" t="str">
        <x:v>C01</x:v>
      </x:c>
      <x:c r="B5" s="70" t="str">
        <x:f>IFERROR(INDEX('02_Kandidaten'!$C$5:$C$12,MATCH(A5,'02_Kandidaten'!$A$5:$A$12,0)),"")</x:f>
      </x:c>
      <x:c r="C5" s="70" t="str">
        <x:f>IFERROR(INDEX('03_Poort1'!$M$5:$M$12,MATCH(A5,'03_Poort1'!$A$5:$A$12,0)),"")</x:f>
      </x:c>
      <x:c r="D5" s="70" t="str">
        <x:f>IF(B5="","",COUNTIF('05_Testcases'!$B$6:$B$2005,A5))</x:f>
      </x:c>
      <x:c r="E5" s="70" t="str">
        <x:f>IF(B5="","",COUNTIFS('05_Testcases'!$B$6:$B$2005,A5,'05_Testcases'!$E$6:$E$2005,"&lt;&gt;",'05_Testcases'!$F$6:$F$2005,"&lt;&gt;"))</x:f>
      </x:c>
      <x:c r="F5" s="70" t="str">
        <x:f>IF(B5="","",D5-E5)</x:f>
      </x:c>
      <x:c r="G5" s="70" t="str">
        <x:f>IF(B5="","",SUMIFS('05_Testcases'!$E$6:$E$2005,'05_Testcases'!$B$6:$B$2005,A5))</x:f>
      </x:c>
      <x:c r="H5" s="111" t="str">
        <x:f>IF(OR(B5="",E5=0),"",G5/E5)</x:f>
      </x:c>
      <x:c r="I5" s="111" t="str">
        <x:f>IF(OR(B5="",E5=0),"",(H5+'01_Intake'!$B$33^2/(2*E5)-'01_Intake'!$B$33*SQRT((H5*(1-H5)+'01_Intake'!$B$33^2/(4*E5))/E5))/(1+'01_Intake'!$B$33^2/E5))</x:f>
      </x:c>
      <x:c r="J5" s="70" t="str">
        <x:f>IF(B5="","",SUMIFS('05_Testcases'!$F$6:$F$2005,'05_Testcases'!$B$6:$B$2005,A5))</x:f>
      </x:c>
      <x:c r="K5" s="111" t="str">
        <x:f>IF(OR(B5="",E5=0),"",J5/E5)</x:f>
      </x:c>
      <x:c r="L5" s="111" t="str">
        <x:f>IF(OR(B5="",E5=0),"",(K5+'01_Intake'!$B$33^2/(2*E5)+'01_Intake'!$B$33*SQRT((K5*(1-K5)+'01_Intake'!$B$33^2/(4*E5))/E5))/(1+'01_Intake'!$B$33^2/E5))</x:f>
      </x:c>
      <x:c r="M5" s="70" t="str">
        <x:f>IF(B5="","",'01_Intake'!$B$37)</x:f>
      </x:c>
      <x:c r="N5" s="66"/>
      <x:c r="O5" s="66"/>
      <x:c r="P5" s="70" t="str">
        <x:f>IF(B5="","",IF(AND(C5&lt;&gt;"PASS",C5&lt;&gt;"CONDITIONAL"),"NOT ELIGIBLE",IF(F5&gt;0,"INCOMPLETE DATA",IF(E5=0,"NO TEST DATA",IF(OR(H5&lt;'01_Intake'!$B$31,K5&gt;'01_Intake'!$B$32),"FAIL",IF(OR(E5&lt;M5,I5&lt;'01_Intake'!$B$31,L5&gt;'01_Intake'!$B$32),"MORE EVIDENCE",IF(N5&lt;&gt;"Ja","COVERAGE HOLD",IF(O5&lt;&gt;"Ja","RUBRIC HOLD","PASS"))))))))</x:f>
      </x:c>
      <x:c r="Q5" s="70" t="str">
        <x:f>IF(P5="","",IF(P5="PASS","Drempels en onzekerheidsgrenzen gehaald.",IF(P5="FAIL","Waargenomen succes of critical-error-rate overschrijdt de norm.",IF(P5="MORE EVIDENCE","Puntschatting kan passend zijn, maar omvang/zekerheid is nog onvoldoende.",IF(P5="INCOMPLETE DATA","Vul finale uitkomst en critical-error-veld per taak in.",IF(P5="NO TEST DATA","Voer vergelijkbare testcases uit.",IF(P5="COVERAGE HOLD","Bevestig representatieve dekking.",IF(P5="RUBRIC HOLD","Bevestig de betrouwbaarheid van de beoordeling.","Los Poort 1 eerst op."))))))))</x:f>
      </x:c>
    </x:row>
    <x:row r="6" ht="39" customHeight="1">
      <x:c r="A6" s="70" t="str">
        <x:v>C02</x:v>
      </x:c>
      <x:c r="B6" s="70" t="str">
        <x:f>IFERROR(INDEX('02_Kandidaten'!$C$5:$C$12,MATCH(A6,'02_Kandidaten'!$A$5:$A$12,0)),"")</x:f>
      </x:c>
      <x:c r="C6" s="70" t="str">
        <x:f>IFERROR(INDEX('03_Poort1'!$M$5:$M$12,MATCH(A6,'03_Poort1'!$A$5:$A$12,0)),"")</x:f>
      </x:c>
      <x:c r="D6" s="70" t="str">
        <x:f>IF(B6="","",COUNTIF('05_Testcases'!$B$6:$B$2005,A6))</x:f>
      </x:c>
      <x:c r="E6" s="70" t="str">
        <x:f>IF(B6="","",COUNTIFS('05_Testcases'!$B$6:$B$2005,A6,'05_Testcases'!$E$6:$E$2005,"&lt;&gt;",'05_Testcases'!$F$6:$F$2005,"&lt;&gt;"))</x:f>
      </x:c>
      <x:c r="F6" s="70" t="str">
        <x:f>IF(B6="","",D6-E6)</x:f>
      </x:c>
      <x:c r="G6" s="70" t="str">
        <x:f>IF(B6="","",SUMIFS('05_Testcases'!$E$6:$E$2005,'05_Testcases'!$B$6:$B$2005,A6))</x:f>
      </x:c>
      <x:c r="H6" s="111" t="str">
        <x:f>IF(OR(B6="",E6=0),"",G6/E6)</x:f>
      </x:c>
      <x:c r="I6" s="111" t="str">
        <x:f>IF(OR(B6="",E6=0),"",(H6+'01_Intake'!$B$33^2/(2*E6)-'01_Intake'!$B$33*SQRT((H6*(1-H6)+'01_Intake'!$B$33^2/(4*E6))/E6))/(1+'01_Intake'!$B$33^2/E6))</x:f>
      </x:c>
      <x:c r="J6" s="70" t="str">
        <x:f>IF(B6="","",SUMIFS('05_Testcases'!$F$6:$F$2005,'05_Testcases'!$B$6:$B$2005,A6))</x:f>
      </x:c>
      <x:c r="K6" s="111" t="str">
        <x:f>IF(OR(B6="",E6=0),"",J6/E6)</x:f>
      </x:c>
      <x:c r="L6" s="111" t="str">
        <x:f>IF(OR(B6="",E6=0),"",(K6+'01_Intake'!$B$33^2/(2*E6)+'01_Intake'!$B$33*SQRT((K6*(1-K6)+'01_Intake'!$B$33^2/(4*E6))/E6))/(1+'01_Intake'!$B$33^2/E6))</x:f>
      </x:c>
      <x:c r="M6" s="70" t="str">
        <x:f>IF(B6="","",'01_Intake'!$B$37)</x:f>
      </x:c>
      <x:c r="N6" s="66"/>
      <x:c r="O6" s="66"/>
      <x:c r="P6" s="70" t="str">
        <x:f>IF(B6="","",IF(AND(C6&lt;&gt;"PASS",C6&lt;&gt;"CONDITIONAL"),"NOT ELIGIBLE",IF(F6&gt;0,"INCOMPLETE DATA",IF(E6=0,"NO TEST DATA",IF(OR(H6&lt;'01_Intake'!$B$31,K6&gt;'01_Intake'!$B$32),"FAIL",IF(OR(E6&lt;M6,I6&lt;'01_Intake'!$B$31,L6&gt;'01_Intake'!$B$32),"MORE EVIDENCE",IF(N6&lt;&gt;"Ja","COVERAGE HOLD",IF(O6&lt;&gt;"Ja","RUBRIC HOLD","PASS"))))))))</x:f>
      </x:c>
      <x:c r="Q6" s="70" t="str">
        <x:f>IF(P6="","",IF(P6="PASS","Drempels en onzekerheidsgrenzen gehaald.",IF(P6="FAIL","Waargenomen succes of critical-error-rate overschrijdt de norm.",IF(P6="MORE EVIDENCE","Puntschatting kan passend zijn, maar omvang/zekerheid is nog onvoldoende.",IF(P6="INCOMPLETE DATA","Vul finale uitkomst en critical-error-veld per taak in.",IF(P6="NO TEST DATA","Voer vergelijkbare testcases uit.",IF(P6="COVERAGE HOLD","Bevestig representatieve dekking.",IF(P6="RUBRIC HOLD","Bevestig de betrouwbaarheid van de beoordeling.","Los Poort 1 eerst op."))))))))</x:f>
      </x:c>
    </x:row>
    <x:row r="7" ht="39" customHeight="1">
      <x:c r="A7" s="70" t="str">
        <x:v>C03</x:v>
      </x:c>
      <x:c r="B7" s="70" t="str">
        <x:f>IFERROR(INDEX('02_Kandidaten'!$C$5:$C$12,MATCH(A7,'02_Kandidaten'!$A$5:$A$12,0)),"")</x:f>
      </x:c>
      <x:c r="C7" s="70" t="str">
        <x:f>IFERROR(INDEX('03_Poort1'!$M$5:$M$12,MATCH(A7,'03_Poort1'!$A$5:$A$12,0)),"")</x:f>
      </x:c>
      <x:c r="D7" s="70" t="str">
        <x:f>IF(B7="","",COUNTIF('05_Testcases'!$B$6:$B$2005,A7))</x:f>
      </x:c>
      <x:c r="E7" s="70" t="str">
        <x:f>IF(B7="","",COUNTIFS('05_Testcases'!$B$6:$B$2005,A7,'05_Testcases'!$E$6:$E$2005,"&lt;&gt;",'05_Testcases'!$F$6:$F$2005,"&lt;&gt;"))</x:f>
      </x:c>
      <x:c r="F7" s="70" t="str">
        <x:f>IF(B7="","",D7-E7)</x:f>
      </x:c>
      <x:c r="G7" s="70" t="str">
        <x:f>IF(B7="","",SUMIFS('05_Testcases'!$E$6:$E$2005,'05_Testcases'!$B$6:$B$2005,A7))</x:f>
      </x:c>
      <x:c r="H7" s="111" t="str">
        <x:f>IF(OR(B7="",E7=0),"",G7/E7)</x:f>
      </x:c>
      <x:c r="I7" s="111" t="str">
        <x:f>IF(OR(B7="",E7=0),"",(H7+'01_Intake'!$B$33^2/(2*E7)-'01_Intake'!$B$33*SQRT((H7*(1-H7)+'01_Intake'!$B$33^2/(4*E7))/E7))/(1+'01_Intake'!$B$33^2/E7))</x:f>
      </x:c>
      <x:c r="J7" s="70" t="str">
        <x:f>IF(B7="","",SUMIFS('05_Testcases'!$F$6:$F$2005,'05_Testcases'!$B$6:$B$2005,A7))</x:f>
      </x:c>
      <x:c r="K7" s="111" t="str">
        <x:f>IF(OR(B7="",E7=0),"",J7/E7)</x:f>
      </x:c>
      <x:c r="L7" s="111" t="str">
        <x:f>IF(OR(B7="",E7=0),"",(K7+'01_Intake'!$B$33^2/(2*E7)+'01_Intake'!$B$33*SQRT((K7*(1-K7)+'01_Intake'!$B$33^2/(4*E7))/E7))/(1+'01_Intake'!$B$33^2/E7))</x:f>
      </x:c>
      <x:c r="M7" s="70" t="str">
        <x:f>IF(B7="","",'01_Intake'!$B$37)</x:f>
      </x:c>
      <x:c r="N7" s="66"/>
      <x:c r="O7" s="66"/>
      <x:c r="P7" s="70" t="str">
        <x:f>IF(B7="","",IF(AND(C7&lt;&gt;"PASS",C7&lt;&gt;"CONDITIONAL"),"NOT ELIGIBLE",IF(F7&gt;0,"INCOMPLETE DATA",IF(E7=0,"NO TEST DATA",IF(OR(H7&lt;'01_Intake'!$B$31,K7&gt;'01_Intake'!$B$32),"FAIL",IF(OR(E7&lt;M7,I7&lt;'01_Intake'!$B$31,L7&gt;'01_Intake'!$B$32),"MORE EVIDENCE",IF(N7&lt;&gt;"Ja","COVERAGE HOLD",IF(O7&lt;&gt;"Ja","RUBRIC HOLD","PASS"))))))))</x:f>
      </x:c>
      <x:c r="Q7" s="70" t="str">
        <x:f>IF(P7="","",IF(P7="PASS","Drempels en onzekerheidsgrenzen gehaald.",IF(P7="FAIL","Waargenomen succes of critical-error-rate overschrijdt de norm.",IF(P7="MORE EVIDENCE","Puntschatting kan passend zijn, maar omvang/zekerheid is nog onvoldoende.",IF(P7="INCOMPLETE DATA","Vul finale uitkomst en critical-error-veld per taak in.",IF(P7="NO TEST DATA","Voer vergelijkbare testcases uit.",IF(P7="COVERAGE HOLD","Bevestig representatieve dekking.",IF(P7="RUBRIC HOLD","Bevestig de betrouwbaarheid van de beoordeling.","Los Poort 1 eerst op."))))))))</x:f>
      </x:c>
    </x:row>
    <x:row r="8" ht="39" customHeight="1">
      <x:c r="A8" s="70" t="str">
        <x:v>C04</x:v>
      </x:c>
      <x:c r="B8" s="70" t="str">
        <x:f>IFERROR(INDEX('02_Kandidaten'!$C$5:$C$12,MATCH(A8,'02_Kandidaten'!$A$5:$A$12,0)),"")</x:f>
      </x:c>
      <x:c r="C8" s="70" t="str">
        <x:f>IFERROR(INDEX('03_Poort1'!$M$5:$M$12,MATCH(A8,'03_Poort1'!$A$5:$A$12,0)),"")</x:f>
      </x:c>
      <x:c r="D8" s="70" t="str">
        <x:f>IF(B8="","",COUNTIF('05_Testcases'!$B$6:$B$2005,A8))</x:f>
      </x:c>
      <x:c r="E8" s="70" t="str">
        <x:f>IF(B8="","",COUNTIFS('05_Testcases'!$B$6:$B$2005,A8,'05_Testcases'!$E$6:$E$2005,"&lt;&gt;",'05_Testcases'!$F$6:$F$2005,"&lt;&gt;"))</x:f>
      </x:c>
      <x:c r="F8" s="70" t="str">
        <x:f>IF(B8="","",D8-E8)</x:f>
      </x:c>
      <x:c r="G8" s="70" t="str">
        <x:f>IF(B8="","",SUMIFS('05_Testcases'!$E$6:$E$2005,'05_Testcases'!$B$6:$B$2005,A8))</x:f>
      </x:c>
      <x:c r="H8" s="111" t="str">
        <x:f>IF(OR(B8="",E8=0),"",G8/E8)</x:f>
      </x:c>
      <x:c r="I8" s="111" t="str">
        <x:f>IF(OR(B8="",E8=0),"",(H8+'01_Intake'!$B$33^2/(2*E8)-'01_Intake'!$B$33*SQRT((H8*(1-H8)+'01_Intake'!$B$33^2/(4*E8))/E8))/(1+'01_Intake'!$B$33^2/E8))</x:f>
      </x:c>
      <x:c r="J8" s="70" t="str">
        <x:f>IF(B8="","",SUMIFS('05_Testcases'!$F$6:$F$2005,'05_Testcases'!$B$6:$B$2005,A8))</x:f>
      </x:c>
      <x:c r="K8" s="111" t="str">
        <x:f>IF(OR(B8="",E8=0),"",J8/E8)</x:f>
      </x:c>
      <x:c r="L8" s="111" t="str">
        <x:f>IF(OR(B8="",E8=0),"",(K8+'01_Intake'!$B$33^2/(2*E8)+'01_Intake'!$B$33*SQRT((K8*(1-K8)+'01_Intake'!$B$33^2/(4*E8))/E8))/(1+'01_Intake'!$B$33^2/E8))</x:f>
      </x:c>
      <x:c r="M8" s="70" t="str">
        <x:f>IF(B8="","",'01_Intake'!$B$37)</x:f>
      </x:c>
      <x:c r="N8" s="66"/>
      <x:c r="O8" s="66"/>
      <x:c r="P8" s="70" t="str">
        <x:f>IF(B8="","",IF(AND(C8&lt;&gt;"PASS",C8&lt;&gt;"CONDITIONAL"),"NOT ELIGIBLE",IF(F8&gt;0,"INCOMPLETE DATA",IF(E8=0,"NO TEST DATA",IF(OR(H8&lt;'01_Intake'!$B$31,K8&gt;'01_Intake'!$B$32),"FAIL",IF(OR(E8&lt;M8,I8&lt;'01_Intake'!$B$31,L8&gt;'01_Intake'!$B$32),"MORE EVIDENCE",IF(N8&lt;&gt;"Ja","COVERAGE HOLD",IF(O8&lt;&gt;"Ja","RUBRIC HOLD","PASS"))))))))</x:f>
      </x:c>
      <x:c r="Q8" s="70" t="str">
        <x:f>IF(P8="","",IF(P8="PASS","Drempels en onzekerheidsgrenzen gehaald.",IF(P8="FAIL","Waargenomen succes of critical-error-rate overschrijdt de norm.",IF(P8="MORE EVIDENCE","Puntschatting kan passend zijn, maar omvang/zekerheid is nog onvoldoende.",IF(P8="INCOMPLETE DATA","Vul finale uitkomst en critical-error-veld per taak in.",IF(P8="NO TEST DATA","Voer vergelijkbare testcases uit.",IF(P8="COVERAGE HOLD","Bevestig representatieve dekking.",IF(P8="RUBRIC HOLD","Bevestig de betrouwbaarheid van de beoordeling.","Los Poort 1 eerst op."))))))))</x:f>
      </x:c>
    </x:row>
    <x:row r="9" ht="39" customHeight="1">
      <x:c r="A9" s="70" t="str">
        <x:v>C05</x:v>
      </x:c>
      <x:c r="B9" s="70" t="str">
        <x:f>IFERROR(INDEX('02_Kandidaten'!$C$5:$C$12,MATCH(A9,'02_Kandidaten'!$A$5:$A$12,0)),"")</x:f>
      </x:c>
      <x:c r="C9" s="70" t="str">
        <x:f>IFERROR(INDEX('03_Poort1'!$M$5:$M$12,MATCH(A9,'03_Poort1'!$A$5:$A$12,0)),"")</x:f>
      </x:c>
      <x:c r="D9" s="70" t="str">
        <x:f>IF(B9="","",COUNTIF('05_Testcases'!$B$6:$B$2005,A9))</x:f>
      </x:c>
      <x:c r="E9" s="70" t="str">
        <x:f>IF(B9="","",COUNTIFS('05_Testcases'!$B$6:$B$2005,A9,'05_Testcases'!$E$6:$E$2005,"&lt;&gt;",'05_Testcases'!$F$6:$F$2005,"&lt;&gt;"))</x:f>
      </x:c>
      <x:c r="F9" s="70" t="str">
        <x:f>IF(B9="","",D9-E9)</x:f>
      </x:c>
      <x:c r="G9" s="70" t="str">
        <x:f>IF(B9="","",SUMIFS('05_Testcases'!$E$6:$E$2005,'05_Testcases'!$B$6:$B$2005,A9))</x:f>
      </x:c>
      <x:c r="H9" s="111" t="str">
        <x:f>IF(OR(B9="",E9=0),"",G9/E9)</x:f>
      </x:c>
      <x:c r="I9" s="111" t="str">
        <x:f>IF(OR(B9="",E9=0),"",(H9+'01_Intake'!$B$33^2/(2*E9)-'01_Intake'!$B$33*SQRT((H9*(1-H9)+'01_Intake'!$B$33^2/(4*E9))/E9))/(1+'01_Intake'!$B$33^2/E9))</x:f>
      </x:c>
      <x:c r="J9" s="70" t="str">
        <x:f>IF(B9="","",SUMIFS('05_Testcases'!$F$6:$F$2005,'05_Testcases'!$B$6:$B$2005,A9))</x:f>
      </x:c>
      <x:c r="K9" s="111" t="str">
        <x:f>IF(OR(B9="",E9=0),"",J9/E9)</x:f>
      </x:c>
      <x:c r="L9" s="111" t="str">
        <x:f>IF(OR(B9="",E9=0),"",(K9+'01_Intake'!$B$33^2/(2*E9)+'01_Intake'!$B$33*SQRT((K9*(1-K9)+'01_Intake'!$B$33^2/(4*E9))/E9))/(1+'01_Intake'!$B$33^2/E9))</x:f>
      </x:c>
      <x:c r="M9" s="70" t="str">
        <x:f>IF(B9="","",'01_Intake'!$B$37)</x:f>
      </x:c>
      <x:c r="N9" s="66"/>
      <x:c r="O9" s="66"/>
      <x:c r="P9" s="70" t="str">
        <x:f>IF(B9="","",IF(AND(C9&lt;&gt;"PASS",C9&lt;&gt;"CONDITIONAL"),"NOT ELIGIBLE",IF(F9&gt;0,"INCOMPLETE DATA",IF(E9=0,"NO TEST DATA",IF(OR(H9&lt;'01_Intake'!$B$31,K9&gt;'01_Intake'!$B$32),"FAIL",IF(OR(E9&lt;M9,I9&lt;'01_Intake'!$B$31,L9&gt;'01_Intake'!$B$32),"MORE EVIDENCE",IF(N9&lt;&gt;"Ja","COVERAGE HOLD",IF(O9&lt;&gt;"Ja","RUBRIC HOLD","PASS"))))))))</x:f>
      </x:c>
      <x:c r="Q9" s="70" t="str">
        <x:f>IF(P9="","",IF(P9="PASS","Drempels en onzekerheidsgrenzen gehaald.",IF(P9="FAIL","Waargenomen succes of critical-error-rate overschrijdt de norm.",IF(P9="MORE EVIDENCE","Puntschatting kan passend zijn, maar omvang/zekerheid is nog onvoldoende.",IF(P9="INCOMPLETE DATA","Vul finale uitkomst en critical-error-veld per taak in.",IF(P9="NO TEST DATA","Voer vergelijkbare testcases uit.",IF(P9="COVERAGE HOLD","Bevestig representatieve dekking.",IF(P9="RUBRIC HOLD","Bevestig de betrouwbaarheid van de beoordeling.","Los Poort 1 eerst op."))))))))</x:f>
      </x:c>
    </x:row>
    <x:row r="10" ht="39" customHeight="1">
      <x:c r="A10" s="70" t="str">
        <x:v>C06</x:v>
      </x:c>
      <x:c r="B10" s="70" t="str">
        <x:f>IFERROR(INDEX('02_Kandidaten'!$C$5:$C$12,MATCH(A10,'02_Kandidaten'!$A$5:$A$12,0)),"")</x:f>
      </x:c>
      <x:c r="C10" s="70" t="str">
        <x:f>IFERROR(INDEX('03_Poort1'!$M$5:$M$12,MATCH(A10,'03_Poort1'!$A$5:$A$12,0)),"")</x:f>
      </x:c>
      <x:c r="D10" s="70" t="str">
        <x:f>IF(B10="","",COUNTIF('05_Testcases'!$B$6:$B$2005,A10))</x:f>
      </x:c>
      <x:c r="E10" s="70" t="str">
        <x:f>IF(B10="","",COUNTIFS('05_Testcases'!$B$6:$B$2005,A10,'05_Testcases'!$E$6:$E$2005,"&lt;&gt;",'05_Testcases'!$F$6:$F$2005,"&lt;&gt;"))</x:f>
      </x:c>
      <x:c r="F10" s="70" t="str">
        <x:f>IF(B10="","",D10-E10)</x:f>
      </x:c>
      <x:c r="G10" s="70" t="str">
        <x:f>IF(B10="","",SUMIFS('05_Testcases'!$E$6:$E$2005,'05_Testcases'!$B$6:$B$2005,A10))</x:f>
      </x:c>
      <x:c r="H10" s="111" t="str">
        <x:f>IF(OR(B10="",E10=0),"",G10/E10)</x:f>
      </x:c>
      <x:c r="I10" s="111" t="str">
        <x:f>IF(OR(B10="",E10=0),"",(H10+'01_Intake'!$B$33^2/(2*E10)-'01_Intake'!$B$33*SQRT((H10*(1-H10)+'01_Intake'!$B$33^2/(4*E10))/E10))/(1+'01_Intake'!$B$33^2/E10))</x:f>
      </x:c>
      <x:c r="J10" s="70" t="str">
        <x:f>IF(B10="","",SUMIFS('05_Testcases'!$F$6:$F$2005,'05_Testcases'!$B$6:$B$2005,A10))</x:f>
      </x:c>
      <x:c r="K10" s="111" t="str">
        <x:f>IF(OR(B10="",E10=0),"",J10/E10)</x:f>
      </x:c>
      <x:c r="L10" s="111" t="str">
        <x:f>IF(OR(B10="",E10=0),"",(K10+'01_Intake'!$B$33^2/(2*E10)+'01_Intake'!$B$33*SQRT((K10*(1-K10)+'01_Intake'!$B$33^2/(4*E10))/E10))/(1+'01_Intake'!$B$33^2/E10))</x:f>
      </x:c>
      <x:c r="M10" s="70" t="str">
        <x:f>IF(B10="","",'01_Intake'!$B$37)</x:f>
      </x:c>
      <x:c r="N10" s="66"/>
      <x:c r="O10" s="66"/>
      <x:c r="P10" s="70" t="str">
        <x:f>IF(B10="","",IF(AND(C10&lt;&gt;"PASS",C10&lt;&gt;"CONDITIONAL"),"NOT ELIGIBLE",IF(F10&gt;0,"INCOMPLETE DATA",IF(E10=0,"NO TEST DATA",IF(OR(H10&lt;'01_Intake'!$B$31,K10&gt;'01_Intake'!$B$32),"FAIL",IF(OR(E10&lt;M10,I10&lt;'01_Intake'!$B$31,L10&gt;'01_Intake'!$B$32),"MORE EVIDENCE",IF(N10&lt;&gt;"Ja","COVERAGE HOLD",IF(O10&lt;&gt;"Ja","RUBRIC HOLD","PASS"))))))))</x:f>
      </x:c>
      <x:c r="Q10" s="70" t="str">
        <x:f>IF(P10="","",IF(P10="PASS","Drempels en onzekerheidsgrenzen gehaald.",IF(P10="FAIL","Waargenomen succes of critical-error-rate overschrijdt de norm.",IF(P10="MORE EVIDENCE","Puntschatting kan passend zijn, maar omvang/zekerheid is nog onvoldoende.",IF(P10="INCOMPLETE DATA","Vul finale uitkomst en critical-error-veld per taak in.",IF(P10="NO TEST DATA","Voer vergelijkbare testcases uit.",IF(P10="COVERAGE HOLD","Bevestig representatieve dekking.",IF(P10="RUBRIC HOLD","Bevestig de betrouwbaarheid van de beoordeling.","Los Poort 1 eerst op."))))))))</x:f>
      </x:c>
    </x:row>
    <x:row r="11" ht="39" customHeight="1">
      <x:c r="A11" s="70" t="str">
        <x:v>C07</x:v>
      </x:c>
      <x:c r="B11" s="70" t="str">
        <x:f>IFERROR(INDEX('02_Kandidaten'!$C$5:$C$12,MATCH(A11,'02_Kandidaten'!$A$5:$A$12,0)),"")</x:f>
      </x:c>
      <x:c r="C11" s="70" t="str">
        <x:f>IFERROR(INDEX('03_Poort1'!$M$5:$M$12,MATCH(A11,'03_Poort1'!$A$5:$A$12,0)),"")</x:f>
      </x:c>
      <x:c r="D11" s="70" t="str">
        <x:f>IF(B11="","",COUNTIF('05_Testcases'!$B$6:$B$2005,A11))</x:f>
      </x:c>
      <x:c r="E11" s="70" t="str">
        <x:f>IF(B11="","",COUNTIFS('05_Testcases'!$B$6:$B$2005,A11,'05_Testcases'!$E$6:$E$2005,"&lt;&gt;",'05_Testcases'!$F$6:$F$2005,"&lt;&gt;"))</x:f>
      </x:c>
      <x:c r="F11" s="70" t="str">
        <x:f>IF(B11="","",D11-E11)</x:f>
      </x:c>
      <x:c r="G11" s="70" t="str">
        <x:f>IF(B11="","",SUMIFS('05_Testcases'!$E$6:$E$2005,'05_Testcases'!$B$6:$B$2005,A11))</x:f>
      </x:c>
      <x:c r="H11" s="111" t="str">
        <x:f>IF(OR(B11="",E11=0),"",G11/E11)</x:f>
      </x:c>
      <x:c r="I11" s="111" t="str">
        <x:f>IF(OR(B11="",E11=0),"",(H11+'01_Intake'!$B$33^2/(2*E11)-'01_Intake'!$B$33*SQRT((H11*(1-H11)+'01_Intake'!$B$33^2/(4*E11))/E11))/(1+'01_Intake'!$B$33^2/E11))</x:f>
      </x:c>
      <x:c r="J11" s="70" t="str">
        <x:f>IF(B11="","",SUMIFS('05_Testcases'!$F$6:$F$2005,'05_Testcases'!$B$6:$B$2005,A11))</x:f>
      </x:c>
      <x:c r="K11" s="111" t="str">
        <x:f>IF(OR(B11="",E11=0),"",J11/E11)</x:f>
      </x:c>
      <x:c r="L11" s="111" t="str">
        <x:f>IF(OR(B11="",E11=0),"",(K11+'01_Intake'!$B$33^2/(2*E11)+'01_Intake'!$B$33*SQRT((K11*(1-K11)+'01_Intake'!$B$33^2/(4*E11))/E11))/(1+'01_Intake'!$B$33^2/E11))</x:f>
      </x:c>
      <x:c r="M11" s="70" t="str">
        <x:f>IF(B11="","",'01_Intake'!$B$37)</x:f>
      </x:c>
      <x:c r="N11" s="66"/>
      <x:c r="O11" s="66"/>
      <x:c r="P11" s="70" t="str">
        <x:f>IF(B11="","",IF(AND(C11&lt;&gt;"PASS",C11&lt;&gt;"CONDITIONAL"),"NOT ELIGIBLE",IF(F11&gt;0,"INCOMPLETE DATA",IF(E11=0,"NO TEST DATA",IF(OR(H11&lt;'01_Intake'!$B$31,K11&gt;'01_Intake'!$B$32),"FAIL",IF(OR(E11&lt;M11,I11&lt;'01_Intake'!$B$31,L11&gt;'01_Intake'!$B$32),"MORE EVIDENCE",IF(N11&lt;&gt;"Ja","COVERAGE HOLD",IF(O11&lt;&gt;"Ja","RUBRIC HOLD","PASS"))))))))</x:f>
      </x:c>
      <x:c r="Q11" s="70" t="str">
        <x:f>IF(P11="","",IF(P11="PASS","Drempels en onzekerheidsgrenzen gehaald.",IF(P11="FAIL","Waargenomen succes of critical-error-rate overschrijdt de norm.",IF(P11="MORE EVIDENCE","Puntschatting kan passend zijn, maar omvang/zekerheid is nog onvoldoende.",IF(P11="INCOMPLETE DATA","Vul finale uitkomst en critical-error-veld per taak in.",IF(P11="NO TEST DATA","Voer vergelijkbare testcases uit.",IF(P11="COVERAGE HOLD","Bevestig representatieve dekking.",IF(P11="RUBRIC HOLD","Bevestig de betrouwbaarheid van de beoordeling.","Los Poort 1 eerst op."))))))))</x:f>
      </x:c>
    </x:row>
    <x:row r="12" ht="39" customHeight="1">
      <x:c r="A12" s="70" t="str">
        <x:v>C08</x:v>
      </x:c>
      <x:c r="B12" s="70" t="str">
        <x:f>IFERROR(INDEX('02_Kandidaten'!$C$5:$C$12,MATCH(A12,'02_Kandidaten'!$A$5:$A$12,0)),"")</x:f>
      </x:c>
      <x:c r="C12" s="70" t="str">
        <x:f>IFERROR(INDEX('03_Poort1'!$M$5:$M$12,MATCH(A12,'03_Poort1'!$A$5:$A$12,0)),"")</x:f>
      </x:c>
      <x:c r="D12" s="70" t="str">
        <x:f>IF(B12="","",COUNTIF('05_Testcases'!$B$6:$B$2005,A12))</x:f>
      </x:c>
      <x:c r="E12" s="70" t="str">
        <x:f>IF(B12="","",COUNTIFS('05_Testcases'!$B$6:$B$2005,A12,'05_Testcases'!$E$6:$E$2005,"&lt;&gt;",'05_Testcases'!$F$6:$F$2005,"&lt;&gt;"))</x:f>
      </x:c>
      <x:c r="F12" s="70" t="str">
        <x:f>IF(B12="","",D12-E12)</x:f>
      </x:c>
      <x:c r="G12" s="70" t="str">
        <x:f>IF(B12="","",SUMIFS('05_Testcases'!$E$6:$E$2005,'05_Testcases'!$B$6:$B$2005,A12))</x:f>
      </x:c>
      <x:c r="H12" s="111" t="str">
        <x:f>IF(OR(B12="",E12=0),"",G12/E12)</x:f>
      </x:c>
      <x:c r="I12" s="111" t="str">
        <x:f>IF(OR(B12="",E12=0),"",(H12+'01_Intake'!$B$33^2/(2*E12)-'01_Intake'!$B$33*SQRT((H12*(1-H12)+'01_Intake'!$B$33^2/(4*E12))/E12))/(1+'01_Intake'!$B$33^2/E12))</x:f>
      </x:c>
      <x:c r="J12" s="70" t="str">
        <x:f>IF(B12="","",SUMIFS('05_Testcases'!$F$6:$F$2005,'05_Testcases'!$B$6:$B$2005,A12))</x:f>
      </x:c>
      <x:c r="K12" s="111" t="str">
        <x:f>IF(OR(B12="",E12=0),"",J12/E12)</x:f>
      </x:c>
      <x:c r="L12" s="111" t="str">
        <x:f>IF(OR(B12="",E12=0),"",(K12+'01_Intake'!$B$33^2/(2*E12)+'01_Intake'!$B$33*SQRT((K12*(1-K12)+'01_Intake'!$B$33^2/(4*E12))/E12))/(1+'01_Intake'!$B$33^2/E12))</x:f>
      </x:c>
      <x:c r="M12" s="70" t="str">
        <x:f>IF(B12="","",'01_Intake'!$B$37)</x:f>
      </x:c>
      <x:c r="N12" s="66"/>
      <x:c r="O12" s="66"/>
      <x:c r="P12" s="70" t="str">
        <x:f>IF(B12="","",IF(AND(C12&lt;&gt;"PASS",C12&lt;&gt;"CONDITIONAL"),"NOT ELIGIBLE",IF(F12&gt;0,"INCOMPLETE DATA",IF(E12=0,"NO TEST DATA",IF(OR(H12&lt;'01_Intake'!$B$31,K12&gt;'01_Intake'!$B$32),"FAIL",IF(OR(E12&lt;M12,I12&lt;'01_Intake'!$B$31,L12&gt;'01_Intake'!$B$32),"MORE EVIDENCE",IF(N12&lt;&gt;"Ja","COVERAGE HOLD",IF(O12&lt;&gt;"Ja","RUBRIC HOLD","PASS"))))))))</x:f>
      </x:c>
      <x:c r="Q12" s="70" t="str">
        <x:f>IF(P12="","",IF(P12="PASS","Drempels en onzekerheidsgrenzen gehaald.",IF(P12="FAIL","Waargenomen succes of critical-error-rate overschrijdt de norm.",IF(P12="MORE EVIDENCE","Puntschatting kan passend zijn, maar omvang/zekerheid is nog onvoldoende.",IF(P12="INCOMPLETE DATA","Vul finale uitkomst en critical-error-veld per taak in.",IF(P12="NO TEST DATA","Voer vergelijkbare testcases uit.",IF(P12="COVERAGE HOLD","Bevestig representatieve dekking.",IF(P12="RUBRIC HOLD","Bevestig de betrouwbaarheid van de beoordeling.","Los Poort 1 eerst op."))))))))</x:f>
      </x:c>
    </x:row>
    <x:row r="13">
      <x:c r="A13" s="151"/>
      <x:c r="B13" s="151"/>
      <x:c r="C13" s="151"/>
      <x:c r="D13" s="151"/>
      <x:c r="E13" s="151"/>
      <x:c r="F13" s="151"/>
      <x:c r="G13" s="151"/>
      <x:c r="H13" s="151"/>
      <x:c r="I13" s="151"/>
      <x:c r="J13" s="151"/>
      <x:c r="K13" s="151"/>
      <x:c r="L13" s="151"/>
      <x:c r="M13" s="151"/>
      <x:c r="N13" s="151"/>
      <x:c r="O13" s="151"/>
      <x:c r="P13" s="151"/>
      <x:c r="Q13" s="151"/>
    </x:row>
    <x:row r="14">
      <x:c r="A14" s="151"/>
      <x:c r="B14" s="151"/>
      <x:c r="C14" s="151"/>
      <x:c r="D14" s="151"/>
      <x:c r="E14" s="151"/>
      <x:c r="F14" s="151"/>
      <x:c r="G14" s="151"/>
      <x:c r="H14" s="151"/>
      <x:c r="I14" s="151"/>
      <x:c r="J14" s="151"/>
      <x:c r="K14" s="151"/>
      <x:c r="L14" s="151"/>
      <x:c r="M14" s="151"/>
      <x:c r="N14" s="151"/>
      <x:c r="O14" s="151"/>
      <x:c r="P14" s="151"/>
      <x:c r="Q14" s="151"/>
    </x:row>
    <x:row r="15">
      <x:c r="A15" s="158" t="str">
        <x:v>Lasten en compleetheid per geaccepteerde taak</x:v>
      </x:c>
      <x:c r="B15" s="158"/>
      <x:c r="C15" s="158"/>
      <x:c r="D15" s="158"/>
      <x:c r="E15" s="158"/>
      <x:c r="F15" s="158"/>
      <x:c r="G15" s="158"/>
      <x:c r="H15" s="158"/>
      <x:c r="I15" s="158"/>
      <x:c r="J15" s="158"/>
      <x:c r="K15" s="158"/>
      <x:c r="L15" s="158"/>
      <x:c r="M15" s="158"/>
      <x:c r="N15" s="158"/>
      <x:c r="O15" s="151"/>
      <x:c r="P15" s="151"/>
      <x:c r="Q15" s="151"/>
    </x:row>
    <x:row r="16">
      <x:c r="A16" s="151"/>
      <x:c r="B16" s="151"/>
      <x:c r="C16" s="151"/>
      <x:c r="D16" s="151"/>
      <x:c r="E16" s="151"/>
      <x:c r="F16" s="151"/>
      <x:c r="G16" s="151"/>
      <x:c r="H16" s="151"/>
      <x:c r="I16" s="151"/>
      <x:c r="J16" s="151"/>
      <x:c r="K16" s="151"/>
      <x:c r="L16" s="151"/>
      <x:c r="M16" s="151"/>
      <x:c r="N16" s="151"/>
      <x:c r="O16" s="151"/>
      <x:c r="P16" s="151"/>
      <x:c r="Q16" s="151"/>
    </x:row>
    <x:row r="17" ht="36" customHeight="1">
      <x:c r="A17" s="159" t="str">
        <x:v>Kandidaat-ID</x:v>
      </x:c>
      <x:c r="B17" s="159" t="str">
        <x:v>Naam</x:v>
      </x:c>
      <x:c r="C17" s="159" t="str">
        <x:v>EUR / geaccepteerd</x:v>
      </x:c>
      <x:c r="D17" s="159" t="str">
        <x:v>Mensmin / geaccepteerd</x:v>
      </x:c>
      <x:c r="E17" s="159" t="str">
        <x:v>Sec / geaccepteerd</x:v>
      </x:c>
      <x:c r="F17" s="159" t="str">
        <x:v>Retries / geaccepteerd</x:v>
      </x:c>
      <x:c r="G17" s="159" t="str">
        <x:v>kWh / geaccepteerd</x:v>
      </x:c>
      <x:c r="H17" s="159" t="str">
        <x:v>gCO2e / geaccepteerd</x:v>
      </x:c>
      <x:c r="I17" s="159" t="str">
        <x:v>Water L / geaccepteerd</x:v>
      </x:c>
      <x:c r="J17" s="159" t="str">
        <x:v>Kosten compleet</x:v>
      </x:c>
      <x:c r="K17" s="159" t="str">
        <x:v>Mens compleet</x:v>
      </x:c>
      <x:c r="L17" s="159" t="str">
        <x:v>Latentie compleet</x:v>
      </x:c>
      <x:c r="M17" s="159" t="str">
        <x:v>Milieubewijs</x:v>
      </x:c>
      <x:c r="N17" s="159" t="str">
        <x:v>Numeriek bewijs</x:v>
      </x:c>
      <x:c r="O17" s="151"/>
      <x:c r="P17" s="151"/>
      <x:c r="Q17" s="151"/>
    </x:row>
    <x:row r="18" ht="36" customHeight="1">
      <x:c r="A18" s="70" t="str">
        <x:v>C01</x:v>
      </x:c>
      <x:c r="B18" s="70" t="str">
        <x:f>IFERROR(INDEX($B$5:$B$12,MATCH(A18,$A$5:$A$12,0)),"")</x:f>
      </x:c>
      <x:c r="C18" s="110" t="str">
        <x:f>IF(OR(B18="",INDEX($G$5:$G$12,MATCH(A18,$A$5:$A$12,0))=0),"",SUMIFS('05_Testcases'!$M$6:$M$2005,'05_Testcases'!$B$6:$B$2005,A18)/INDEX($G$5:$G$12,MATCH(A18,$A$5:$A$12,0)))</x:f>
      </x:c>
      <x:c r="D18" s="110" t="str">
        <x:f>IF(OR(B18="",INDEX($G$5:$G$12,MATCH(A18,$A$5:$A$12,0))=0),"",(SUMIFS('05_Testcases'!$J$6:$J$2005,'05_Testcases'!$B$6:$B$2005,A18)+SUMIFS('05_Testcases'!$K$6:$K$2005,'05_Testcases'!$B$6:$B$2005,A18))/INDEX($G$5:$G$12,MATCH(A18,$A$5:$A$12,0)))</x:f>
      </x:c>
      <x:c r="E18" s="110" t="str">
        <x:f>IF(OR(B18="",INDEX($G$5:$G$12,MATCH(A18,$A$5:$A$12,0))=0),"",SUMIFS('05_Testcases'!$L$6:$L$2005,'05_Testcases'!$B$6:$B$2005,A18)/INDEX($G$5:$G$12,MATCH(A18,$A$5:$A$12,0)))</x:f>
      </x:c>
      <x:c r="F18" s="110" t="str">
        <x:f>IF(OR(B18="",INDEX($G$5:$G$12,MATCH(A18,$A$5:$A$12,0))=0),"",SUMIFS('05_Testcases'!$I$6:$I$2005,'05_Testcases'!$B$6:$B$2005,A18)/INDEX($G$5:$G$12,MATCH(A18,$A$5:$A$12,0)))</x:f>
      </x:c>
      <x:c r="G18" s="110" t="str">
        <x:f>IFERROR(INDEX('07_Bewijs'!$F$5:$F$12,MATCH(A18,'07_Bewijs'!$A$5:$A$12,0)),"")</x:f>
      </x:c>
      <x:c r="H18" s="110" t="str">
        <x:f>IFERROR(INDEX('07_Bewijs'!$H$5:$H$12,MATCH(A18,'07_Bewijs'!$A$5:$A$12,0)),"")</x:f>
      </x:c>
      <x:c r="I18" s="110" t="str">
        <x:f>IFERROR(INDEX('07_Bewijs'!$J$5:$J$12,MATCH(A18,'07_Bewijs'!$A$5:$A$12,0)),"")</x:f>
      </x:c>
      <x:c r="J18" s="70" t="str">
        <x:f>IF(B18="","",IF('01_Intake'!$B$40&lt;&gt;"Ja","N/A",IF(COUNTIF('05_Testcases'!$B$6:$B$2005,A18)=0,"NO DATA",IF(COUNTIFS('05_Testcases'!$B$6:$B$2005,A18,'05_Testcases'!$M$6:$M$2005,"&lt;&gt;")&lt;COUNTIF('05_Testcases'!$B$6:$B$2005,A18),"INCOMPLETE","COMPLETE"))))</x:f>
      </x:c>
      <x:c r="K18" s="70" t="str">
        <x:f>IF(B18="","",IF('01_Intake'!$B$41&lt;&gt;"Ja","N/A",IF(COUNTIF('05_Testcases'!$B$6:$B$2005,A18)=0,"NO DATA",IF(OR(COUNTIFS('05_Testcases'!$B$6:$B$2005,A18,'05_Testcases'!$J$6:$J$2005,"&lt;&gt;")&lt;COUNTIF('05_Testcases'!$B$6:$B$2005,A18),COUNTIFS('05_Testcases'!$B$6:$B$2005,A18,'05_Testcases'!$K$6:$K$2005,"&lt;&gt;")&lt;COUNTIF('05_Testcases'!$B$6:$B$2005,A18)),"INCOMPLETE","COMPLETE"))))</x:f>
      </x:c>
      <x:c r="L18" s="70" t="str">
        <x:f>IF(B18="","",IF('01_Intake'!$B$42&lt;&gt;"Ja","N/A",IF(COUNTIF('05_Testcases'!$B$6:$B$2005,A18)=0,"NO DATA",IF(COUNTIFS('05_Testcases'!$B$6:$B$2005,A18,'05_Testcases'!$L$6:$L$2005,"&lt;&gt;")&lt;COUNTIF('05_Testcases'!$B$6:$B$2005,A18),"INCOMPLETE","COMPLETE"))))</x:f>
      </x:c>
      <x:c r="M18" s="70" t="str">
        <x:f>IFERROR(INDEX('07_Bewijs'!$Q$5:$Q$12,MATCH(A18,'07_Bewijs'!$A$5:$A$12,0)),"")</x:f>
      </x:c>
      <x:c r="N18" s="70" t="str">
        <x:f>IF(B18="","",IF(OR(AND('01_Intake'!$B$40="Ja",J18&lt;&gt;"COMPLETE"),AND('01_Intake'!$B$41="Ja",K18&lt;&gt;"COMPLETE"),AND('01_Intake'!$B$42="Ja",L18&lt;&gt;"COMPLETE"),AND('01_Intake'!$B$43="Ja",M18&lt;&gt;"COMPLETE")),"INSUFFICIENT EVIDENCE","SUFFICIENT FOR REVIEW"))</x:f>
      </x:c>
      <x:c r="O18" s="151"/>
      <x:c r="P18" s="151"/>
      <x:c r="Q18" s="151"/>
    </x:row>
    <x:row r="19" ht="36" customHeight="1">
      <x:c r="A19" s="70" t="str">
        <x:v>C02</x:v>
      </x:c>
      <x:c r="B19" s="70" t="str">
        <x:f>IFERROR(INDEX($B$5:$B$12,MATCH(A19,$A$5:$A$12,0)),"")</x:f>
      </x:c>
      <x:c r="C19" s="110" t="str">
        <x:f>IF(OR(B19="",INDEX($G$5:$G$12,MATCH(A19,$A$5:$A$12,0))=0),"",SUMIFS('05_Testcases'!$M$6:$M$2005,'05_Testcases'!$B$6:$B$2005,A19)/INDEX($G$5:$G$12,MATCH(A19,$A$5:$A$12,0)))</x:f>
      </x:c>
      <x:c r="D19" s="110" t="str">
        <x:f>IF(OR(B19="",INDEX($G$5:$G$12,MATCH(A19,$A$5:$A$12,0))=0),"",(SUMIFS('05_Testcases'!$J$6:$J$2005,'05_Testcases'!$B$6:$B$2005,A19)+SUMIFS('05_Testcases'!$K$6:$K$2005,'05_Testcases'!$B$6:$B$2005,A19))/INDEX($G$5:$G$12,MATCH(A19,$A$5:$A$12,0)))</x:f>
      </x:c>
      <x:c r="E19" s="110" t="str">
        <x:f>IF(OR(B19="",INDEX($G$5:$G$12,MATCH(A19,$A$5:$A$12,0))=0),"",SUMIFS('05_Testcases'!$L$6:$L$2005,'05_Testcases'!$B$6:$B$2005,A19)/INDEX($G$5:$G$12,MATCH(A19,$A$5:$A$12,0)))</x:f>
      </x:c>
      <x:c r="F19" s="110" t="str">
        <x:f>IF(OR(B19="",INDEX($G$5:$G$12,MATCH(A19,$A$5:$A$12,0))=0),"",SUMIFS('05_Testcases'!$I$6:$I$2005,'05_Testcases'!$B$6:$B$2005,A19)/INDEX($G$5:$G$12,MATCH(A19,$A$5:$A$12,0)))</x:f>
      </x:c>
      <x:c r="G19" s="110" t="str">
        <x:f>IFERROR(INDEX('07_Bewijs'!$F$5:$F$12,MATCH(A19,'07_Bewijs'!$A$5:$A$12,0)),"")</x:f>
      </x:c>
      <x:c r="H19" s="110" t="str">
        <x:f>IFERROR(INDEX('07_Bewijs'!$H$5:$H$12,MATCH(A19,'07_Bewijs'!$A$5:$A$12,0)),"")</x:f>
      </x:c>
      <x:c r="I19" s="110" t="str">
        <x:f>IFERROR(INDEX('07_Bewijs'!$J$5:$J$12,MATCH(A19,'07_Bewijs'!$A$5:$A$12,0)),"")</x:f>
      </x:c>
      <x:c r="J19" s="70" t="str">
        <x:f>IF(B19="","",IF('01_Intake'!$B$40&lt;&gt;"Ja","N/A",IF(COUNTIF('05_Testcases'!$B$6:$B$2005,A19)=0,"NO DATA",IF(COUNTIFS('05_Testcases'!$B$6:$B$2005,A19,'05_Testcases'!$M$6:$M$2005,"&lt;&gt;")&lt;COUNTIF('05_Testcases'!$B$6:$B$2005,A19),"INCOMPLETE","COMPLETE"))))</x:f>
      </x:c>
      <x:c r="K19" s="70" t="str">
        <x:f>IF(B19="","",IF('01_Intake'!$B$41&lt;&gt;"Ja","N/A",IF(COUNTIF('05_Testcases'!$B$6:$B$2005,A19)=0,"NO DATA",IF(OR(COUNTIFS('05_Testcases'!$B$6:$B$2005,A19,'05_Testcases'!$J$6:$J$2005,"&lt;&gt;")&lt;COUNTIF('05_Testcases'!$B$6:$B$2005,A19),COUNTIFS('05_Testcases'!$B$6:$B$2005,A19,'05_Testcases'!$K$6:$K$2005,"&lt;&gt;")&lt;COUNTIF('05_Testcases'!$B$6:$B$2005,A19)),"INCOMPLETE","COMPLETE"))))</x:f>
      </x:c>
      <x:c r="L19" s="70" t="str">
        <x:f>IF(B19="","",IF('01_Intake'!$B$42&lt;&gt;"Ja","N/A",IF(COUNTIF('05_Testcases'!$B$6:$B$2005,A19)=0,"NO DATA",IF(COUNTIFS('05_Testcases'!$B$6:$B$2005,A19,'05_Testcases'!$L$6:$L$2005,"&lt;&gt;")&lt;COUNTIF('05_Testcases'!$B$6:$B$2005,A19),"INCOMPLETE","COMPLETE"))))</x:f>
      </x:c>
      <x:c r="M19" s="70" t="str">
        <x:f>IFERROR(INDEX('07_Bewijs'!$Q$5:$Q$12,MATCH(A19,'07_Bewijs'!$A$5:$A$12,0)),"")</x:f>
      </x:c>
      <x:c r="N19" s="70" t="str">
        <x:f>IF(B19="","",IF(OR(AND('01_Intake'!$B$40="Ja",J19&lt;&gt;"COMPLETE"),AND('01_Intake'!$B$41="Ja",K19&lt;&gt;"COMPLETE"),AND('01_Intake'!$B$42="Ja",L19&lt;&gt;"COMPLETE"),AND('01_Intake'!$B$43="Ja",M19&lt;&gt;"COMPLETE")),"INSUFFICIENT EVIDENCE","SUFFICIENT FOR REVIEW"))</x:f>
      </x:c>
      <x:c r="O19" s="151"/>
      <x:c r="P19" s="151"/>
      <x:c r="Q19" s="151"/>
    </x:row>
    <x:row r="20" ht="36" customHeight="1">
      <x:c r="A20" s="70" t="str">
        <x:v>C03</x:v>
      </x:c>
      <x:c r="B20" s="70" t="str">
        <x:f>IFERROR(INDEX($B$5:$B$12,MATCH(A20,$A$5:$A$12,0)),"")</x:f>
      </x:c>
      <x:c r="C20" s="110" t="str">
        <x:f>IF(OR(B20="",INDEX($G$5:$G$12,MATCH(A20,$A$5:$A$12,0))=0),"",SUMIFS('05_Testcases'!$M$6:$M$2005,'05_Testcases'!$B$6:$B$2005,A20)/INDEX($G$5:$G$12,MATCH(A20,$A$5:$A$12,0)))</x:f>
      </x:c>
      <x:c r="D20" s="110" t="str">
        <x:f>IF(OR(B20="",INDEX($G$5:$G$12,MATCH(A20,$A$5:$A$12,0))=0),"",(SUMIFS('05_Testcases'!$J$6:$J$2005,'05_Testcases'!$B$6:$B$2005,A20)+SUMIFS('05_Testcases'!$K$6:$K$2005,'05_Testcases'!$B$6:$B$2005,A20))/INDEX($G$5:$G$12,MATCH(A20,$A$5:$A$12,0)))</x:f>
      </x:c>
      <x:c r="E20" s="110" t="str">
        <x:f>IF(OR(B20="",INDEX($G$5:$G$12,MATCH(A20,$A$5:$A$12,0))=0),"",SUMIFS('05_Testcases'!$L$6:$L$2005,'05_Testcases'!$B$6:$B$2005,A20)/INDEX($G$5:$G$12,MATCH(A20,$A$5:$A$12,0)))</x:f>
      </x:c>
      <x:c r="F20" s="110" t="str">
        <x:f>IF(OR(B20="",INDEX($G$5:$G$12,MATCH(A20,$A$5:$A$12,0))=0),"",SUMIFS('05_Testcases'!$I$6:$I$2005,'05_Testcases'!$B$6:$B$2005,A20)/INDEX($G$5:$G$12,MATCH(A20,$A$5:$A$12,0)))</x:f>
      </x:c>
      <x:c r="G20" s="110" t="str">
        <x:f>IFERROR(INDEX('07_Bewijs'!$F$5:$F$12,MATCH(A20,'07_Bewijs'!$A$5:$A$12,0)),"")</x:f>
      </x:c>
      <x:c r="H20" s="110" t="str">
        <x:f>IFERROR(INDEX('07_Bewijs'!$H$5:$H$12,MATCH(A20,'07_Bewijs'!$A$5:$A$12,0)),"")</x:f>
      </x:c>
      <x:c r="I20" s="110" t="str">
        <x:f>IFERROR(INDEX('07_Bewijs'!$J$5:$J$12,MATCH(A20,'07_Bewijs'!$A$5:$A$12,0)),"")</x:f>
      </x:c>
      <x:c r="J20" s="70" t="str">
        <x:f>IF(B20="","",IF('01_Intake'!$B$40&lt;&gt;"Ja","N/A",IF(COUNTIF('05_Testcases'!$B$6:$B$2005,A20)=0,"NO DATA",IF(COUNTIFS('05_Testcases'!$B$6:$B$2005,A20,'05_Testcases'!$M$6:$M$2005,"&lt;&gt;")&lt;COUNTIF('05_Testcases'!$B$6:$B$2005,A20),"INCOMPLETE","COMPLETE"))))</x:f>
      </x:c>
      <x:c r="K20" s="70" t="str">
        <x:f>IF(B20="","",IF('01_Intake'!$B$41&lt;&gt;"Ja","N/A",IF(COUNTIF('05_Testcases'!$B$6:$B$2005,A20)=0,"NO DATA",IF(OR(COUNTIFS('05_Testcases'!$B$6:$B$2005,A20,'05_Testcases'!$J$6:$J$2005,"&lt;&gt;")&lt;COUNTIF('05_Testcases'!$B$6:$B$2005,A20),COUNTIFS('05_Testcases'!$B$6:$B$2005,A20,'05_Testcases'!$K$6:$K$2005,"&lt;&gt;")&lt;COUNTIF('05_Testcases'!$B$6:$B$2005,A20)),"INCOMPLETE","COMPLETE"))))</x:f>
      </x:c>
      <x:c r="L20" s="70" t="str">
        <x:f>IF(B20="","",IF('01_Intake'!$B$42&lt;&gt;"Ja","N/A",IF(COUNTIF('05_Testcases'!$B$6:$B$2005,A20)=0,"NO DATA",IF(COUNTIFS('05_Testcases'!$B$6:$B$2005,A20,'05_Testcases'!$L$6:$L$2005,"&lt;&gt;")&lt;COUNTIF('05_Testcases'!$B$6:$B$2005,A20),"INCOMPLETE","COMPLETE"))))</x:f>
      </x:c>
      <x:c r="M20" s="70" t="str">
        <x:f>IFERROR(INDEX('07_Bewijs'!$Q$5:$Q$12,MATCH(A20,'07_Bewijs'!$A$5:$A$12,0)),"")</x:f>
      </x:c>
      <x:c r="N20" s="70" t="str">
        <x:f>IF(B20="","",IF(OR(AND('01_Intake'!$B$40="Ja",J20&lt;&gt;"COMPLETE"),AND('01_Intake'!$B$41="Ja",K20&lt;&gt;"COMPLETE"),AND('01_Intake'!$B$42="Ja",L20&lt;&gt;"COMPLETE"),AND('01_Intake'!$B$43="Ja",M20&lt;&gt;"COMPLETE")),"INSUFFICIENT EVIDENCE","SUFFICIENT FOR REVIEW"))</x:f>
      </x:c>
      <x:c r="O20" s="151"/>
      <x:c r="P20" s="151"/>
      <x:c r="Q20" s="151"/>
    </x:row>
    <x:row r="21" ht="36" customHeight="1">
      <x:c r="A21" s="70" t="str">
        <x:v>C04</x:v>
      </x:c>
      <x:c r="B21" s="70" t="str">
        <x:f>IFERROR(INDEX($B$5:$B$12,MATCH(A21,$A$5:$A$12,0)),"")</x:f>
      </x:c>
      <x:c r="C21" s="110" t="str">
        <x:f>IF(OR(B21="",INDEX($G$5:$G$12,MATCH(A21,$A$5:$A$12,0))=0),"",SUMIFS('05_Testcases'!$M$6:$M$2005,'05_Testcases'!$B$6:$B$2005,A21)/INDEX($G$5:$G$12,MATCH(A21,$A$5:$A$12,0)))</x:f>
      </x:c>
      <x:c r="D21" s="110" t="str">
        <x:f>IF(OR(B21="",INDEX($G$5:$G$12,MATCH(A21,$A$5:$A$12,0))=0),"",(SUMIFS('05_Testcases'!$J$6:$J$2005,'05_Testcases'!$B$6:$B$2005,A21)+SUMIFS('05_Testcases'!$K$6:$K$2005,'05_Testcases'!$B$6:$B$2005,A21))/INDEX($G$5:$G$12,MATCH(A21,$A$5:$A$12,0)))</x:f>
      </x:c>
      <x:c r="E21" s="110" t="str">
        <x:f>IF(OR(B21="",INDEX($G$5:$G$12,MATCH(A21,$A$5:$A$12,0))=0),"",SUMIFS('05_Testcases'!$L$6:$L$2005,'05_Testcases'!$B$6:$B$2005,A21)/INDEX($G$5:$G$12,MATCH(A21,$A$5:$A$12,0)))</x:f>
      </x:c>
      <x:c r="F21" s="110" t="str">
        <x:f>IF(OR(B21="",INDEX($G$5:$G$12,MATCH(A21,$A$5:$A$12,0))=0),"",SUMIFS('05_Testcases'!$I$6:$I$2005,'05_Testcases'!$B$6:$B$2005,A21)/INDEX($G$5:$G$12,MATCH(A21,$A$5:$A$12,0)))</x:f>
      </x:c>
      <x:c r="G21" s="110" t="str">
        <x:f>IFERROR(INDEX('07_Bewijs'!$F$5:$F$12,MATCH(A21,'07_Bewijs'!$A$5:$A$12,0)),"")</x:f>
      </x:c>
      <x:c r="H21" s="110" t="str">
        <x:f>IFERROR(INDEX('07_Bewijs'!$H$5:$H$12,MATCH(A21,'07_Bewijs'!$A$5:$A$12,0)),"")</x:f>
      </x:c>
      <x:c r="I21" s="110" t="str">
        <x:f>IFERROR(INDEX('07_Bewijs'!$J$5:$J$12,MATCH(A21,'07_Bewijs'!$A$5:$A$12,0)),"")</x:f>
      </x:c>
      <x:c r="J21" s="70" t="str">
        <x:f>IF(B21="","",IF('01_Intake'!$B$40&lt;&gt;"Ja","N/A",IF(COUNTIF('05_Testcases'!$B$6:$B$2005,A21)=0,"NO DATA",IF(COUNTIFS('05_Testcases'!$B$6:$B$2005,A21,'05_Testcases'!$M$6:$M$2005,"&lt;&gt;")&lt;COUNTIF('05_Testcases'!$B$6:$B$2005,A21),"INCOMPLETE","COMPLETE"))))</x:f>
      </x:c>
      <x:c r="K21" s="70" t="str">
        <x:f>IF(B21="","",IF('01_Intake'!$B$41&lt;&gt;"Ja","N/A",IF(COUNTIF('05_Testcases'!$B$6:$B$2005,A21)=0,"NO DATA",IF(OR(COUNTIFS('05_Testcases'!$B$6:$B$2005,A21,'05_Testcases'!$J$6:$J$2005,"&lt;&gt;")&lt;COUNTIF('05_Testcases'!$B$6:$B$2005,A21),COUNTIFS('05_Testcases'!$B$6:$B$2005,A21,'05_Testcases'!$K$6:$K$2005,"&lt;&gt;")&lt;COUNTIF('05_Testcases'!$B$6:$B$2005,A21)),"INCOMPLETE","COMPLETE"))))</x:f>
      </x:c>
      <x:c r="L21" s="70" t="str">
        <x:f>IF(B21="","",IF('01_Intake'!$B$42&lt;&gt;"Ja","N/A",IF(COUNTIF('05_Testcases'!$B$6:$B$2005,A21)=0,"NO DATA",IF(COUNTIFS('05_Testcases'!$B$6:$B$2005,A21,'05_Testcases'!$L$6:$L$2005,"&lt;&gt;")&lt;COUNTIF('05_Testcases'!$B$6:$B$2005,A21),"INCOMPLETE","COMPLETE"))))</x:f>
      </x:c>
      <x:c r="M21" s="70" t="str">
        <x:f>IFERROR(INDEX('07_Bewijs'!$Q$5:$Q$12,MATCH(A21,'07_Bewijs'!$A$5:$A$12,0)),"")</x:f>
      </x:c>
      <x:c r="N21" s="70" t="str">
        <x:f>IF(B21="","",IF(OR(AND('01_Intake'!$B$40="Ja",J21&lt;&gt;"COMPLETE"),AND('01_Intake'!$B$41="Ja",K21&lt;&gt;"COMPLETE"),AND('01_Intake'!$B$42="Ja",L21&lt;&gt;"COMPLETE"),AND('01_Intake'!$B$43="Ja",M21&lt;&gt;"COMPLETE")),"INSUFFICIENT EVIDENCE","SUFFICIENT FOR REVIEW"))</x:f>
      </x:c>
      <x:c r="O21" s="151"/>
      <x:c r="P21" s="151"/>
      <x:c r="Q21" s="151"/>
    </x:row>
    <x:row r="22" ht="36" customHeight="1">
      <x:c r="A22" s="70" t="str">
        <x:v>C05</x:v>
      </x:c>
      <x:c r="B22" s="70" t="str">
        <x:f>IFERROR(INDEX($B$5:$B$12,MATCH(A22,$A$5:$A$12,0)),"")</x:f>
      </x:c>
      <x:c r="C22" s="110" t="str">
        <x:f>IF(OR(B22="",INDEX($G$5:$G$12,MATCH(A22,$A$5:$A$12,0))=0),"",SUMIFS('05_Testcases'!$M$6:$M$2005,'05_Testcases'!$B$6:$B$2005,A22)/INDEX($G$5:$G$12,MATCH(A22,$A$5:$A$12,0)))</x:f>
      </x:c>
      <x:c r="D22" s="110" t="str">
        <x:f>IF(OR(B22="",INDEX($G$5:$G$12,MATCH(A22,$A$5:$A$12,0))=0),"",(SUMIFS('05_Testcases'!$J$6:$J$2005,'05_Testcases'!$B$6:$B$2005,A22)+SUMIFS('05_Testcases'!$K$6:$K$2005,'05_Testcases'!$B$6:$B$2005,A22))/INDEX($G$5:$G$12,MATCH(A22,$A$5:$A$12,0)))</x:f>
      </x:c>
      <x:c r="E22" s="110" t="str">
        <x:f>IF(OR(B22="",INDEX($G$5:$G$12,MATCH(A22,$A$5:$A$12,0))=0),"",SUMIFS('05_Testcases'!$L$6:$L$2005,'05_Testcases'!$B$6:$B$2005,A22)/INDEX($G$5:$G$12,MATCH(A22,$A$5:$A$12,0)))</x:f>
      </x:c>
      <x:c r="F22" s="110" t="str">
        <x:f>IF(OR(B22="",INDEX($G$5:$G$12,MATCH(A22,$A$5:$A$12,0))=0),"",SUMIFS('05_Testcases'!$I$6:$I$2005,'05_Testcases'!$B$6:$B$2005,A22)/INDEX($G$5:$G$12,MATCH(A22,$A$5:$A$12,0)))</x:f>
      </x:c>
      <x:c r="G22" s="110" t="str">
        <x:f>IFERROR(INDEX('07_Bewijs'!$F$5:$F$12,MATCH(A22,'07_Bewijs'!$A$5:$A$12,0)),"")</x:f>
      </x:c>
      <x:c r="H22" s="110" t="str">
        <x:f>IFERROR(INDEX('07_Bewijs'!$H$5:$H$12,MATCH(A22,'07_Bewijs'!$A$5:$A$12,0)),"")</x:f>
      </x:c>
      <x:c r="I22" s="110" t="str">
        <x:f>IFERROR(INDEX('07_Bewijs'!$J$5:$J$12,MATCH(A22,'07_Bewijs'!$A$5:$A$12,0)),"")</x:f>
      </x:c>
      <x:c r="J22" s="70" t="str">
        <x:f>IF(B22="","",IF('01_Intake'!$B$40&lt;&gt;"Ja","N/A",IF(COUNTIF('05_Testcases'!$B$6:$B$2005,A22)=0,"NO DATA",IF(COUNTIFS('05_Testcases'!$B$6:$B$2005,A22,'05_Testcases'!$M$6:$M$2005,"&lt;&gt;")&lt;COUNTIF('05_Testcases'!$B$6:$B$2005,A22),"INCOMPLETE","COMPLETE"))))</x:f>
      </x:c>
      <x:c r="K22" s="70" t="str">
        <x:f>IF(B22="","",IF('01_Intake'!$B$41&lt;&gt;"Ja","N/A",IF(COUNTIF('05_Testcases'!$B$6:$B$2005,A22)=0,"NO DATA",IF(OR(COUNTIFS('05_Testcases'!$B$6:$B$2005,A22,'05_Testcases'!$J$6:$J$2005,"&lt;&gt;")&lt;COUNTIF('05_Testcases'!$B$6:$B$2005,A22),COUNTIFS('05_Testcases'!$B$6:$B$2005,A22,'05_Testcases'!$K$6:$K$2005,"&lt;&gt;")&lt;COUNTIF('05_Testcases'!$B$6:$B$2005,A22)),"INCOMPLETE","COMPLETE"))))</x:f>
      </x:c>
      <x:c r="L22" s="70" t="str">
        <x:f>IF(B22="","",IF('01_Intake'!$B$42&lt;&gt;"Ja","N/A",IF(COUNTIF('05_Testcases'!$B$6:$B$2005,A22)=0,"NO DATA",IF(COUNTIFS('05_Testcases'!$B$6:$B$2005,A22,'05_Testcases'!$L$6:$L$2005,"&lt;&gt;")&lt;COUNTIF('05_Testcases'!$B$6:$B$2005,A22),"INCOMPLETE","COMPLETE"))))</x:f>
      </x:c>
      <x:c r="M22" s="70" t="str">
        <x:f>IFERROR(INDEX('07_Bewijs'!$Q$5:$Q$12,MATCH(A22,'07_Bewijs'!$A$5:$A$12,0)),"")</x:f>
      </x:c>
      <x:c r="N22" s="70" t="str">
        <x:f>IF(B22="","",IF(OR(AND('01_Intake'!$B$40="Ja",J22&lt;&gt;"COMPLETE"),AND('01_Intake'!$B$41="Ja",K22&lt;&gt;"COMPLETE"),AND('01_Intake'!$B$42="Ja",L22&lt;&gt;"COMPLETE"),AND('01_Intake'!$B$43="Ja",M22&lt;&gt;"COMPLETE")),"INSUFFICIENT EVIDENCE","SUFFICIENT FOR REVIEW"))</x:f>
      </x:c>
      <x:c r="O22" s="151"/>
      <x:c r="P22" s="151"/>
      <x:c r="Q22" s="151"/>
    </x:row>
    <x:row r="23" ht="36" customHeight="1">
      <x:c r="A23" s="70" t="str">
        <x:v>C06</x:v>
      </x:c>
      <x:c r="B23" s="70" t="str">
        <x:f>IFERROR(INDEX($B$5:$B$12,MATCH(A23,$A$5:$A$12,0)),"")</x:f>
      </x:c>
      <x:c r="C23" s="110" t="str">
        <x:f>IF(OR(B23="",INDEX($G$5:$G$12,MATCH(A23,$A$5:$A$12,0))=0),"",SUMIFS('05_Testcases'!$M$6:$M$2005,'05_Testcases'!$B$6:$B$2005,A23)/INDEX($G$5:$G$12,MATCH(A23,$A$5:$A$12,0)))</x:f>
      </x:c>
      <x:c r="D23" s="110" t="str">
        <x:f>IF(OR(B23="",INDEX($G$5:$G$12,MATCH(A23,$A$5:$A$12,0))=0),"",(SUMIFS('05_Testcases'!$J$6:$J$2005,'05_Testcases'!$B$6:$B$2005,A23)+SUMIFS('05_Testcases'!$K$6:$K$2005,'05_Testcases'!$B$6:$B$2005,A23))/INDEX($G$5:$G$12,MATCH(A23,$A$5:$A$12,0)))</x:f>
      </x:c>
      <x:c r="E23" s="110" t="str">
        <x:f>IF(OR(B23="",INDEX($G$5:$G$12,MATCH(A23,$A$5:$A$12,0))=0),"",SUMIFS('05_Testcases'!$L$6:$L$2005,'05_Testcases'!$B$6:$B$2005,A23)/INDEX($G$5:$G$12,MATCH(A23,$A$5:$A$12,0)))</x:f>
      </x:c>
      <x:c r="F23" s="110" t="str">
        <x:f>IF(OR(B23="",INDEX($G$5:$G$12,MATCH(A23,$A$5:$A$12,0))=0),"",SUMIFS('05_Testcases'!$I$6:$I$2005,'05_Testcases'!$B$6:$B$2005,A23)/INDEX($G$5:$G$12,MATCH(A23,$A$5:$A$12,0)))</x:f>
      </x:c>
      <x:c r="G23" s="110" t="str">
        <x:f>IFERROR(INDEX('07_Bewijs'!$F$5:$F$12,MATCH(A23,'07_Bewijs'!$A$5:$A$12,0)),"")</x:f>
      </x:c>
      <x:c r="H23" s="110" t="str">
        <x:f>IFERROR(INDEX('07_Bewijs'!$H$5:$H$12,MATCH(A23,'07_Bewijs'!$A$5:$A$12,0)),"")</x:f>
      </x:c>
      <x:c r="I23" s="110" t="str">
        <x:f>IFERROR(INDEX('07_Bewijs'!$J$5:$J$12,MATCH(A23,'07_Bewijs'!$A$5:$A$12,0)),"")</x:f>
      </x:c>
      <x:c r="J23" s="70" t="str">
        <x:f>IF(B23="","",IF('01_Intake'!$B$40&lt;&gt;"Ja","N/A",IF(COUNTIF('05_Testcases'!$B$6:$B$2005,A23)=0,"NO DATA",IF(COUNTIFS('05_Testcases'!$B$6:$B$2005,A23,'05_Testcases'!$M$6:$M$2005,"&lt;&gt;")&lt;COUNTIF('05_Testcases'!$B$6:$B$2005,A23),"INCOMPLETE","COMPLETE"))))</x:f>
      </x:c>
      <x:c r="K23" s="70" t="str">
        <x:f>IF(B23="","",IF('01_Intake'!$B$41&lt;&gt;"Ja","N/A",IF(COUNTIF('05_Testcases'!$B$6:$B$2005,A23)=0,"NO DATA",IF(OR(COUNTIFS('05_Testcases'!$B$6:$B$2005,A23,'05_Testcases'!$J$6:$J$2005,"&lt;&gt;")&lt;COUNTIF('05_Testcases'!$B$6:$B$2005,A23),COUNTIFS('05_Testcases'!$B$6:$B$2005,A23,'05_Testcases'!$K$6:$K$2005,"&lt;&gt;")&lt;COUNTIF('05_Testcases'!$B$6:$B$2005,A23)),"INCOMPLETE","COMPLETE"))))</x:f>
      </x:c>
      <x:c r="L23" s="70" t="str">
        <x:f>IF(B23="","",IF('01_Intake'!$B$42&lt;&gt;"Ja","N/A",IF(COUNTIF('05_Testcases'!$B$6:$B$2005,A23)=0,"NO DATA",IF(COUNTIFS('05_Testcases'!$B$6:$B$2005,A23,'05_Testcases'!$L$6:$L$2005,"&lt;&gt;")&lt;COUNTIF('05_Testcases'!$B$6:$B$2005,A23),"INCOMPLETE","COMPLETE"))))</x:f>
      </x:c>
      <x:c r="M23" s="70" t="str">
        <x:f>IFERROR(INDEX('07_Bewijs'!$Q$5:$Q$12,MATCH(A23,'07_Bewijs'!$A$5:$A$12,0)),"")</x:f>
      </x:c>
      <x:c r="N23" s="70" t="str">
        <x:f>IF(B23="","",IF(OR(AND('01_Intake'!$B$40="Ja",J23&lt;&gt;"COMPLETE"),AND('01_Intake'!$B$41="Ja",K23&lt;&gt;"COMPLETE"),AND('01_Intake'!$B$42="Ja",L23&lt;&gt;"COMPLETE"),AND('01_Intake'!$B$43="Ja",M23&lt;&gt;"COMPLETE")),"INSUFFICIENT EVIDENCE","SUFFICIENT FOR REVIEW"))</x:f>
      </x:c>
      <x:c r="O23" s="151"/>
      <x:c r="P23" s="151"/>
      <x:c r="Q23" s="151"/>
    </x:row>
    <x:row r="24" ht="36" customHeight="1">
      <x:c r="A24" s="70" t="str">
        <x:v>C07</x:v>
      </x:c>
      <x:c r="B24" s="70" t="str">
        <x:f>IFERROR(INDEX($B$5:$B$12,MATCH(A24,$A$5:$A$12,0)),"")</x:f>
      </x:c>
      <x:c r="C24" s="110" t="str">
        <x:f>IF(OR(B24="",INDEX($G$5:$G$12,MATCH(A24,$A$5:$A$12,0))=0),"",SUMIFS('05_Testcases'!$M$6:$M$2005,'05_Testcases'!$B$6:$B$2005,A24)/INDEX($G$5:$G$12,MATCH(A24,$A$5:$A$12,0)))</x:f>
      </x:c>
      <x:c r="D24" s="110" t="str">
        <x:f>IF(OR(B24="",INDEX($G$5:$G$12,MATCH(A24,$A$5:$A$12,0))=0),"",(SUMIFS('05_Testcases'!$J$6:$J$2005,'05_Testcases'!$B$6:$B$2005,A24)+SUMIFS('05_Testcases'!$K$6:$K$2005,'05_Testcases'!$B$6:$B$2005,A24))/INDEX($G$5:$G$12,MATCH(A24,$A$5:$A$12,0)))</x:f>
      </x:c>
      <x:c r="E24" s="110" t="str">
        <x:f>IF(OR(B24="",INDEX($G$5:$G$12,MATCH(A24,$A$5:$A$12,0))=0),"",SUMIFS('05_Testcases'!$L$6:$L$2005,'05_Testcases'!$B$6:$B$2005,A24)/INDEX($G$5:$G$12,MATCH(A24,$A$5:$A$12,0)))</x:f>
      </x:c>
      <x:c r="F24" s="110" t="str">
        <x:f>IF(OR(B24="",INDEX($G$5:$G$12,MATCH(A24,$A$5:$A$12,0))=0),"",SUMIFS('05_Testcases'!$I$6:$I$2005,'05_Testcases'!$B$6:$B$2005,A24)/INDEX($G$5:$G$12,MATCH(A24,$A$5:$A$12,0)))</x:f>
      </x:c>
      <x:c r="G24" s="110" t="str">
        <x:f>IFERROR(INDEX('07_Bewijs'!$F$5:$F$12,MATCH(A24,'07_Bewijs'!$A$5:$A$12,0)),"")</x:f>
      </x:c>
      <x:c r="H24" s="110" t="str">
        <x:f>IFERROR(INDEX('07_Bewijs'!$H$5:$H$12,MATCH(A24,'07_Bewijs'!$A$5:$A$12,0)),"")</x:f>
      </x:c>
      <x:c r="I24" s="110" t="str">
        <x:f>IFERROR(INDEX('07_Bewijs'!$J$5:$J$12,MATCH(A24,'07_Bewijs'!$A$5:$A$12,0)),"")</x:f>
      </x:c>
      <x:c r="J24" s="70" t="str">
        <x:f>IF(B24="","",IF('01_Intake'!$B$40&lt;&gt;"Ja","N/A",IF(COUNTIF('05_Testcases'!$B$6:$B$2005,A24)=0,"NO DATA",IF(COUNTIFS('05_Testcases'!$B$6:$B$2005,A24,'05_Testcases'!$M$6:$M$2005,"&lt;&gt;")&lt;COUNTIF('05_Testcases'!$B$6:$B$2005,A24),"INCOMPLETE","COMPLETE"))))</x:f>
      </x:c>
      <x:c r="K24" s="70" t="str">
        <x:f>IF(B24="","",IF('01_Intake'!$B$41&lt;&gt;"Ja","N/A",IF(COUNTIF('05_Testcases'!$B$6:$B$2005,A24)=0,"NO DATA",IF(OR(COUNTIFS('05_Testcases'!$B$6:$B$2005,A24,'05_Testcases'!$J$6:$J$2005,"&lt;&gt;")&lt;COUNTIF('05_Testcases'!$B$6:$B$2005,A24),COUNTIFS('05_Testcases'!$B$6:$B$2005,A24,'05_Testcases'!$K$6:$K$2005,"&lt;&gt;")&lt;COUNTIF('05_Testcases'!$B$6:$B$2005,A24)),"INCOMPLETE","COMPLETE"))))</x:f>
      </x:c>
      <x:c r="L24" s="70" t="str">
        <x:f>IF(B24="","",IF('01_Intake'!$B$42&lt;&gt;"Ja","N/A",IF(COUNTIF('05_Testcases'!$B$6:$B$2005,A24)=0,"NO DATA",IF(COUNTIFS('05_Testcases'!$B$6:$B$2005,A24,'05_Testcases'!$L$6:$L$2005,"&lt;&gt;")&lt;COUNTIF('05_Testcases'!$B$6:$B$2005,A24),"INCOMPLETE","COMPLETE"))))</x:f>
      </x:c>
      <x:c r="M24" s="70" t="str">
        <x:f>IFERROR(INDEX('07_Bewijs'!$Q$5:$Q$12,MATCH(A24,'07_Bewijs'!$A$5:$A$12,0)),"")</x:f>
      </x:c>
      <x:c r="N24" s="70" t="str">
        <x:f>IF(B24="","",IF(OR(AND('01_Intake'!$B$40="Ja",J24&lt;&gt;"COMPLETE"),AND('01_Intake'!$B$41="Ja",K24&lt;&gt;"COMPLETE"),AND('01_Intake'!$B$42="Ja",L24&lt;&gt;"COMPLETE"),AND('01_Intake'!$B$43="Ja",M24&lt;&gt;"COMPLETE")),"INSUFFICIENT EVIDENCE","SUFFICIENT FOR REVIEW"))</x:f>
      </x:c>
      <x:c r="O24" s="151"/>
      <x:c r="P24" s="151"/>
      <x:c r="Q24" s="151"/>
    </x:row>
    <x:row r="25" ht="36" customHeight="1">
      <x:c r="A25" s="70" t="str">
        <x:v>C08</x:v>
      </x:c>
      <x:c r="B25" s="70" t="str">
        <x:f>IFERROR(INDEX($B$5:$B$12,MATCH(A25,$A$5:$A$12,0)),"")</x:f>
      </x:c>
      <x:c r="C25" s="110" t="str">
        <x:f>IF(OR(B25="",INDEX($G$5:$G$12,MATCH(A25,$A$5:$A$12,0))=0),"",SUMIFS('05_Testcases'!$M$6:$M$2005,'05_Testcases'!$B$6:$B$2005,A25)/INDEX($G$5:$G$12,MATCH(A25,$A$5:$A$12,0)))</x:f>
      </x:c>
      <x:c r="D25" s="110" t="str">
        <x:f>IF(OR(B25="",INDEX($G$5:$G$12,MATCH(A25,$A$5:$A$12,0))=0),"",(SUMIFS('05_Testcases'!$J$6:$J$2005,'05_Testcases'!$B$6:$B$2005,A25)+SUMIFS('05_Testcases'!$K$6:$K$2005,'05_Testcases'!$B$6:$B$2005,A25))/INDEX($G$5:$G$12,MATCH(A25,$A$5:$A$12,0)))</x:f>
      </x:c>
      <x:c r="E25" s="110" t="str">
        <x:f>IF(OR(B25="",INDEX($G$5:$G$12,MATCH(A25,$A$5:$A$12,0))=0),"",SUMIFS('05_Testcases'!$L$6:$L$2005,'05_Testcases'!$B$6:$B$2005,A25)/INDEX($G$5:$G$12,MATCH(A25,$A$5:$A$12,0)))</x:f>
      </x:c>
      <x:c r="F25" s="110" t="str">
        <x:f>IF(OR(B25="",INDEX($G$5:$G$12,MATCH(A25,$A$5:$A$12,0))=0),"",SUMIFS('05_Testcases'!$I$6:$I$2005,'05_Testcases'!$B$6:$B$2005,A25)/INDEX($G$5:$G$12,MATCH(A25,$A$5:$A$12,0)))</x:f>
      </x:c>
      <x:c r="G25" s="110" t="str">
        <x:f>IFERROR(INDEX('07_Bewijs'!$F$5:$F$12,MATCH(A25,'07_Bewijs'!$A$5:$A$12,0)),"")</x:f>
      </x:c>
      <x:c r="H25" s="110" t="str">
        <x:f>IFERROR(INDEX('07_Bewijs'!$H$5:$H$12,MATCH(A25,'07_Bewijs'!$A$5:$A$12,0)),"")</x:f>
      </x:c>
      <x:c r="I25" s="110" t="str">
        <x:f>IFERROR(INDEX('07_Bewijs'!$J$5:$J$12,MATCH(A25,'07_Bewijs'!$A$5:$A$12,0)),"")</x:f>
      </x:c>
      <x:c r="J25" s="70" t="str">
        <x:f>IF(B25="","",IF('01_Intake'!$B$40&lt;&gt;"Ja","N/A",IF(COUNTIF('05_Testcases'!$B$6:$B$2005,A25)=0,"NO DATA",IF(COUNTIFS('05_Testcases'!$B$6:$B$2005,A25,'05_Testcases'!$M$6:$M$2005,"&lt;&gt;")&lt;COUNTIF('05_Testcases'!$B$6:$B$2005,A25),"INCOMPLETE","COMPLETE"))))</x:f>
      </x:c>
      <x:c r="K25" s="70" t="str">
        <x:f>IF(B25="","",IF('01_Intake'!$B$41&lt;&gt;"Ja","N/A",IF(COUNTIF('05_Testcases'!$B$6:$B$2005,A25)=0,"NO DATA",IF(OR(COUNTIFS('05_Testcases'!$B$6:$B$2005,A25,'05_Testcases'!$J$6:$J$2005,"&lt;&gt;")&lt;COUNTIF('05_Testcases'!$B$6:$B$2005,A25),COUNTIFS('05_Testcases'!$B$6:$B$2005,A25,'05_Testcases'!$K$6:$K$2005,"&lt;&gt;")&lt;COUNTIF('05_Testcases'!$B$6:$B$2005,A25)),"INCOMPLETE","COMPLETE"))))</x:f>
      </x:c>
      <x:c r="L25" s="70" t="str">
        <x:f>IF(B25="","",IF('01_Intake'!$B$42&lt;&gt;"Ja","N/A",IF(COUNTIF('05_Testcases'!$B$6:$B$2005,A25)=0,"NO DATA",IF(COUNTIFS('05_Testcases'!$B$6:$B$2005,A25,'05_Testcases'!$L$6:$L$2005,"&lt;&gt;")&lt;COUNTIF('05_Testcases'!$B$6:$B$2005,A25),"INCOMPLETE","COMPLETE"))))</x:f>
      </x:c>
      <x:c r="M25" s="70" t="str">
        <x:f>IFERROR(INDEX('07_Bewijs'!$Q$5:$Q$12,MATCH(A25,'07_Bewijs'!$A$5:$A$12,0)),"")</x:f>
      </x:c>
      <x:c r="N25" s="70" t="str">
        <x:f>IF(B25="","",IF(OR(AND('01_Intake'!$B$40="Ja",J25&lt;&gt;"COMPLETE"),AND('01_Intake'!$B$41="Ja",K25&lt;&gt;"COMPLETE"),AND('01_Intake'!$B$42="Ja",L25&lt;&gt;"COMPLETE"),AND('01_Intake'!$B$43="Ja",M25&lt;&gt;"COMPLETE")),"INSUFFICIENT EVIDENCE","SUFFICIENT FOR REVIEW"))</x:f>
      </x:c>
      <x:c r="O25" s="151"/>
      <x:c r="P25" s="151"/>
      <x:c r="Q25" s="151"/>
    </x:row>
    <x:row r="26">
      <x:c r="A26" s="151"/>
      <x:c r="B26" s="151"/>
      <x:c r="C26" s="151"/>
      <x:c r="D26" s="151"/>
      <x:c r="E26" s="151"/>
      <x:c r="F26" s="151"/>
      <x:c r="G26" s="151"/>
      <x:c r="H26" s="151"/>
      <x:c r="I26" s="151"/>
      <x:c r="J26" s="151"/>
      <x:c r="K26" s="151"/>
      <x:c r="L26" s="151"/>
      <x:c r="M26" s="151"/>
      <x:c r="N26" s="151"/>
      <x:c r="O26" s="151"/>
      <x:c r="P26" s="151"/>
      <x:c r="Q26" s="151"/>
    </x:row>
    <x:row r="27">
      <x:c r="A27" s="151"/>
      <x:c r="B27" s="151"/>
      <x:c r="C27" s="151"/>
      <x:c r="D27" s="151"/>
      <x:c r="E27" s="151"/>
      <x:c r="F27" s="151"/>
      <x:c r="G27" s="151"/>
      <x:c r="H27" s="151"/>
      <x:c r="I27" s="151"/>
      <x:c r="J27" s="151"/>
      <x:c r="K27" s="151"/>
      <x:c r="L27" s="151"/>
      <x:c r="M27" s="151"/>
      <x:c r="N27" s="151"/>
      <x:c r="O27" s="151"/>
      <x:c r="P27" s="151"/>
      <x:c r="Q27" s="151"/>
    </x:row>
    <x:row r="28">
      <x:c r="A28" s="165" t="str">
        <x:v>Interpretatie: FAIL betekent dat de waargenomen uitkomst de taaknorm niet haalt. MORE EVIDENCE betekent dat de puntschatting nog niet met voldoende zekerheid is onderbouwd. Een ontbrekende kosten-, tijd- of milieuwaarde wordt nooit als nul bewijs behandeld.</x:v>
      </x:c>
      <x:c r="B28" s="165"/>
      <x:c r="C28" s="165"/>
      <x:c r="D28" s="165"/>
      <x:c r="E28" s="165"/>
      <x:c r="F28" s="165"/>
      <x:c r="G28" s="165"/>
      <x:c r="H28" s="165"/>
      <x:c r="I28" s="165"/>
      <x:c r="J28" s="165"/>
      <x:c r="K28" s="165"/>
      <x:c r="L28" s="165"/>
      <x:c r="M28" s="165"/>
      <x:c r="N28" s="165"/>
      <x:c r="O28" s="165"/>
      <x:c r="P28" s="165"/>
      <x:c r="Q28" s="165"/>
    </x:row>
    <x:row r="29">
      <x:c r="A29" s="165"/>
      <x:c r="B29" s="165"/>
      <x:c r="C29" s="165"/>
      <x:c r="D29" s="165"/>
      <x:c r="E29" s="165"/>
      <x:c r="F29" s="165"/>
      <x:c r="G29" s="165"/>
      <x:c r="H29" s="165"/>
      <x:c r="I29" s="165"/>
      <x:c r="J29" s="165"/>
      <x:c r="K29" s="165"/>
      <x:c r="L29" s="165"/>
      <x:c r="M29" s="165"/>
      <x:c r="N29" s="165"/>
      <x:c r="O29" s="165"/>
      <x:c r="P29" s="165"/>
      <x:c r="Q29" s="165"/>
    </x:row>
    <x:row r="30">
      <x:c r="A30" s="165"/>
      <x:c r="B30" s="165"/>
      <x:c r="C30" s="165"/>
      <x:c r="D30" s="165"/>
      <x:c r="E30" s="165"/>
      <x:c r="F30" s="165"/>
      <x:c r="G30" s="165"/>
      <x:c r="H30" s="165"/>
      <x:c r="I30" s="165"/>
      <x:c r="J30" s="165"/>
      <x:c r="K30" s="165"/>
      <x:c r="L30" s="165"/>
      <x:c r="M30" s="165"/>
      <x:c r="N30" s="165"/>
      <x:c r="O30" s="165"/>
      <x:c r="P30" s="165"/>
      <x:c r="Q30" s="165"/>
    </x:row>
    <x:row r="31">
      <x:c r="A31" s="165"/>
      <x:c r="B31" s="165"/>
      <x:c r="C31" s="165"/>
      <x:c r="D31" s="165"/>
      <x:c r="E31" s="165"/>
      <x:c r="F31" s="165"/>
      <x:c r="G31" s="165"/>
      <x:c r="H31" s="165"/>
      <x:c r="I31" s="165"/>
      <x:c r="J31" s="165"/>
      <x:c r="K31" s="165"/>
      <x:c r="L31" s="165"/>
      <x:c r="M31" s="165"/>
      <x:c r="N31" s="165"/>
      <x:c r="O31" s="165"/>
      <x:c r="P31" s="165"/>
      <x:c r="Q31" s="165"/>
    </x:row>
  </x:sheetData>
  <x:mergeCells>
    <x:mergeCell ref="A1:Q1"/>
    <x:mergeCell ref="A2:Q2"/>
    <x:mergeCell ref="A15:N15"/>
    <x:mergeCell ref="A28:Q31"/>
  </x:mergeCells>
  <x:conditionalFormatting sqref="C5:C12">
    <x:cfRule type="containsText" dxfId="40" priority="1" operator="containsText" text="PASS"/>
    <x:cfRule type="containsText" dxfId="41" priority="2" operator="containsText" text="READY"/>
    <x:cfRule type="containsText" dxfId="42" priority="3" operator="containsText" text="MORE EVIDENCE"/>
    <x:cfRule type="containsText" dxfId="43" priority="4" operator="containsText" text="CONDIT"/>
    <x:cfRule type="containsText" dxfId="44" priority="5" operator="containsText" text="HOLD"/>
    <x:cfRule type="containsText" dxfId="45" priority="6" operator="containsText" text="INCOMPLETE"/>
    <x:cfRule type="containsText" dxfId="46" priority="7" operator="containsText" text="FAIL"/>
    <x:cfRule type="containsText" dxfId="47" priority="8" operator="containsText" text="NOT ELIGIBLE"/>
  </x:conditionalFormatting>
  <x:conditionalFormatting sqref="P5:P12">
    <x:cfRule type="containsText" dxfId="48" priority="9" operator="containsText" text="PASS"/>
    <x:cfRule type="containsText" dxfId="49" priority="10" operator="containsText" text="READY"/>
    <x:cfRule type="containsText" dxfId="50" priority="11" operator="containsText" text="MORE EVIDENCE"/>
    <x:cfRule type="containsText" dxfId="51" priority="12" operator="containsText" text="CONDIT"/>
    <x:cfRule type="containsText" dxfId="52" priority="13" operator="containsText" text="HOLD"/>
    <x:cfRule type="containsText" dxfId="53" priority="14" operator="containsText" text="INCOMPLETE"/>
    <x:cfRule type="containsText" dxfId="54" priority="15" operator="containsText" text="FAIL"/>
    <x:cfRule type="containsText" dxfId="55" priority="16" operator="containsText" text="NOT ELIGIBLE"/>
  </x:conditionalFormatting>
  <x:conditionalFormatting sqref="J18:N25">
    <x:cfRule type="containsText" dxfId="56" priority="17" operator="containsText" text="PASS"/>
    <x:cfRule type="containsText" dxfId="57" priority="18" operator="containsText" text="READY"/>
    <x:cfRule type="containsText" dxfId="58" priority="19" operator="containsText" text="MORE EVIDENCE"/>
    <x:cfRule type="containsText" dxfId="59" priority="20" operator="containsText" text="CONDIT"/>
    <x:cfRule type="containsText" dxfId="60" priority="21" operator="containsText" text="HOLD"/>
    <x:cfRule type="containsText" dxfId="61" priority="22" operator="containsText" text="INCOMPLETE"/>
    <x:cfRule type="containsText" dxfId="62" priority="23" operator="containsText" text="FAIL"/>
    <x:cfRule type="containsText" dxfId="63" priority="24" operator="containsText" text="NOT ELIGIBLE"/>
  </x:conditionalFormatting>
  <x:dataValidations count="1">
    <x:dataValidation type="list" sqref="N5:O12">
      <x:formula1>"Ja,Nee,N.v.t."</x:formula1>
    </x:dataValidation>
  </x:dataValidations>
  <x:pageMargins left="0.7" right="0.7" top="0.75" bottom="0.75" header="0.3" footer="0.3"/>
  <x:legacyDrawing xmlns:r="http://schemas.openxmlformats.org/officeDocument/2006/relationships" r:id="Rbb82fb26659d43a0"/>
  <x:tableParts count="2">
    <x:tablePart xmlns:r="http://schemas.openxmlformats.org/officeDocument/2006/relationships" r:id="R6d95349ce2d34049"/>
    <x:tablePart xmlns:r="http://schemas.openxmlformats.org/officeDocument/2006/relationships" r:id="Rcb3323d8f00940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11" hidden="0" customWidth="1"/>
    <x:col min="4" max="4" width="13" hidden="0" customWidth="1"/>
    <x:col min="5" max="5" width="18" hidden="0" customWidth="1"/>
    <x:col min="6" max="6" width="20" hidden="0" customWidth="1"/>
    <x:col min="7" max="7" width="16" hidden="0" customWidth="1"/>
    <x:col min="8" max="8" width="21" hidden="0" customWidth="1"/>
    <x:col min="9" max="9" width="16" hidden="0" customWidth="1"/>
    <x:col min="10" max="10" width="20" hidden="0" customWidth="1"/>
    <x:col min="11" max="11" width="27" hidden="0" customWidth="1"/>
    <x:col min="12" max="12" width="28" hidden="0" customWidth="1"/>
    <x:col min="13" max="13" width="15" hidden="0" customWidth="1"/>
    <x:col min="14" max="14" width="16" hidden="0" customWidth="1"/>
    <x:col min="15" max="15" width="20" hidden="0" customWidth="1"/>
    <x:col min="16" max="16" width="18" hidden="0" customWidth="1"/>
    <x:col min="17" max="17" width="22" hidden="0" customWidth="1"/>
  </x:cols>
  <x:sheetData>
    <x:row r="1" ht="31" customHeight="1">
      <x:c r="A1" s="149" t="str">
        <x:v>07 · Bewijs en milieugrens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149"/>
      <x:c r="L1" s="149"/>
      <x:c r="M1" s="149"/>
      <x:c r="N1" s="149"/>
      <x:c r="O1" s="149"/>
      <x:c r="P1" s="149"/>
      <x:c r="Q1" s="149"/>
    </x:row>
    <x:row r="2" ht="31" customHeight="1">
      <x:c r="A2" s="150" t="str">
        <x:v>Onbekend is niet nul. Leg bron, methode, systeemgrens, vergelijkbaarheid en beperkingen vast.</x:v>
      </x:c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  <x:c r="N2" s="150"/>
      <x:c r="O2" s="150"/>
      <x:c r="P2" s="150"/>
      <x:c r="Q2" s="150"/>
    </x:row>
    <x:row r="3">
      <x:c r="A3" s="151"/>
      <x:c r="B3" s="151"/>
      <x:c r="C3" s="151"/>
      <x:c r="D3" s="151"/>
      <x:c r="E3" s="151"/>
      <x:c r="F3" s="151"/>
      <x:c r="G3" s="151"/>
      <x:c r="H3" s="151"/>
      <x:c r="I3" s="151"/>
      <x:c r="J3" s="151"/>
      <x:c r="K3" s="151"/>
      <x:c r="L3" s="151"/>
      <x:c r="M3" s="151"/>
      <x:c r="N3" s="151"/>
      <x:c r="O3" s="151"/>
      <x:c r="P3" s="151"/>
      <x:c r="Q3" s="151"/>
    </x:row>
    <x:row r="4" ht="39" customHeight="1">
      <x:c r="A4" s="159" t="str">
        <x:v>Kandidaat-ID</x:v>
      </x:c>
      <x:c r="B4" s="159" t="str">
        <x:v>Naam</x:v>
      </x:c>
      <x:c r="C4" s="159" t="str">
        <x:v>Taken</x:v>
      </x:c>
      <x:c r="D4" s="159" t="str">
        <x:v>Geaccepteerd</x:v>
      </x:c>
      <x:c r="E4" s="159" t="str">
        <x:v>Energie totaal kWh</x:v>
      </x:c>
      <x:c r="F4" s="159" t="str">
        <x:v>kWh / geaccepteerd</x:v>
      </x:c>
      <x:c r="G4" s="159" t="str">
        <x:v>CO2e totaal g</x:v>
      </x:c>
      <x:c r="H4" s="159" t="str">
        <x:v>gCO2e / geaccepteerd</x:v>
      </x:c>
      <x:c r="I4" s="159" t="str">
        <x:v>Water totaal L</x:v>
      </x:c>
      <x:c r="J4" s="159" t="str">
        <x:v>L / geaccepteerd</x:v>
      </x:c>
      <x:c r="K4" s="159" t="str">
        <x:v>Systeemgrens</x:v>
      </x:c>
      <x:c r="L4" s="159" t="str">
        <x:v>Methode</x:v>
      </x:c>
      <x:c r="M4" s="159" t="str">
        <x:v>Bewijsgraad</x:v>
      </x:c>
      <x:c r="N4" s="159" t="str">
        <x:v>Vergelijkbaar?</x:v>
      </x:c>
      <x:c r="O4" s="159" t="str">
        <x:v>Embodied inbegrepen?</x:v>
      </x:c>
      <x:c r="P4" s="159" t="str">
        <x:v>Bewijs-ID</x:v>
      </x:c>
      <x:c r="Q4" s="159" t="str">
        <x:v>Milieubewijs</x:v>
      </x:c>
    </x:row>
    <x:row r="5" ht="39" customHeight="1">
      <x:c r="A5" s="70" t="str">
        <x:v>C01</x:v>
      </x:c>
      <x:c r="B5" s="70" t="str">
        <x:f>IFERROR(INDEX('02_Kandidaten'!$C$5:$C$12,MATCH(A5,'02_Kandidaten'!$A$5:$A$12,0)),"")</x:f>
      </x:c>
      <x:c r="C5" s="70" t="str">
        <x:f>IF(B5="","",COUNTIF('05_Testcases'!$B$6:$B$2005,A5))</x:f>
      </x:c>
      <x:c r="D5" s="70" t="str">
        <x:f>IF(B5="","",SUMIFS('05_Testcases'!$E$6:$E$2005,'05_Testcases'!$B$6:$B$2005,A5))</x:f>
      </x:c>
      <x:c r="E5" s="110" t="str">
        <x:f>IF(B5="","",SUMIFS('05_Testcases'!$Q$6:$Q$2005,'05_Testcases'!$B$6:$B$2005,A5))</x:f>
      </x:c>
      <x:c r="F5" s="110" t="str">
        <x:f>IF(OR(B5="",D5=0),"",E5/D5)</x:f>
      </x:c>
      <x:c r="G5" s="110" t="str">
        <x:f>IF(B5="","",SUMIFS('05_Testcases'!$R$6:$R$2005,'05_Testcases'!$B$6:$B$2005,A5))</x:f>
      </x:c>
      <x:c r="H5" s="110" t="str">
        <x:f>IF(OR(B5="",D5=0),"",G5/D5)</x:f>
      </x:c>
      <x:c r="I5" s="110" t="str">
        <x:f>IF(B5="","",SUMIFS('05_Testcases'!$S$6:$S$2005,'05_Testcases'!$B$6:$B$2005,A5))</x:f>
      </x:c>
      <x:c r="J5" s="110" t="str">
        <x:f>IF(OR(B5="",D5=0),"",I5/D5)</x:f>
      </x:c>
      <x:c r="K5" s="66"/>
      <x:c r="L5" s="66"/>
      <x:c r="M5" s="66"/>
      <x:c r="N5" s="66"/>
      <x:c r="O5" s="66"/>
      <x:c r="P5" s="66"/>
      <x:c r="Q5" s="70" t="str">
        <x:f>IF(B5="","",IF('01_Intake'!$B$43&lt;&gt;"Ja","N/A",IF(C5=0,"NO DATA",IF(OR(COUNTIFS('05_Testcases'!$B$6:$B$2005,A5,'05_Testcases'!$Q$6:$Q$2005,"&lt;&gt;")&lt;C5,COUNTIFS('05_Testcases'!$B$6:$B$2005,A5,'05_Testcases'!$R$6:$R$2005,"&lt;&gt;")&lt;C5,COUNTIFS('05_Testcases'!$B$6:$B$2005,A5,'05_Testcases'!$S$6:$S$2005,"&lt;&gt;")&lt;C5),"INCOMPLETE DATA",IF(OR(K5="",L5="",M5="",N5="",O5="",P5=""),"INCOMPLETE EVIDENCE",IF(N5&lt;&gt;"Ja","NOT COMPARABLE","COMPLETE"))))))</x:f>
      </x:c>
    </x:row>
    <x:row r="6" ht="39" customHeight="1">
      <x:c r="A6" s="70" t="str">
        <x:v>C02</x:v>
      </x:c>
      <x:c r="B6" s="70" t="str">
        <x:f>IFERROR(INDEX('02_Kandidaten'!$C$5:$C$12,MATCH(A6,'02_Kandidaten'!$A$5:$A$12,0)),"")</x:f>
      </x:c>
      <x:c r="C6" s="70" t="str">
        <x:f>IF(B6="","",COUNTIF('05_Testcases'!$B$6:$B$2005,A6))</x:f>
      </x:c>
      <x:c r="D6" s="70" t="str">
        <x:f>IF(B6="","",SUMIFS('05_Testcases'!$E$6:$E$2005,'05_Testcases'!$B$6:$B$2005,A6))</x:f>
      </x:c>
      <x:c r="E6" s="110" t="str">
        <x:f>IF(B6="","",SUMIFS('05_Testcases'!$Q$6:$Q$2005,'05_Testcases'!$B$6:$B$2005,A6))</x:f>
      </x:c>
      <x:c r="F6" s="110" t="str">
        <x:f>IF(OR(B6="",D6=0),"",E6/D6)</x:f>
      </x:c>
      <x:c r="G6" s="110" t="str">
        <x:f>IF(B6="","",SUMIFS('05_Testcases'!$R$6:$R$2005,'05_Testcases'!$B$6:$B$2005,A6))</x:f>
      </x:c>
      <x:c r="H6" s="110" t="str">
        <x:f>IF(OR(B6="",D6=0),"",G6/D6)</x:f>
      </x:c>
      <x:c r="I6" s="110" t="str">
        <x:f>IF(B6="","",SUMIFS('05_Testcases'!$S$6:$S$2005,'05_Testcases'!$B$6:$B$2005,A6))</x:f>
      </x:c>
      <x:c r="J6" s="110" t="str">
        <x:f>IF(OR(B6="",D6=0),"",I6/D6)</x:f>
      </x:c>
      <x:c r="K6" s="66"/>
      <x:c r="L6" s="66"/>
      <x:c r="M6" s="66"/>
      <x:c r="N6" s="66"/>
      <x:c r="O6" s="66"/>
      <x:c r="P6" s="66"/>
      <x:c r="Q6" s="70" t="str">
        <x:f>IF(B6="","",IF('01_Intake'!$B$43&lt;&gt;"Ja","N/A",IF(C6=0,"NO DATA",IF(OR(COUNTIFS('05_Testcases'!$B$6:$B$2005,A6,'05_Testcases'!$Q$6:$Q$2005,"&lt;&gt;")&lt;C6,COUNTIFS('05_Testcases'!$B$6:$B$2005,A6,'05_Testcases'!$R$6:$R$2005,"&lt;&gt;")&lt;C6,COUNTIFS('05_Testcases'!$B$6:$B$2005,A6,'05_Testcases'!$S$6:$S$2005,"&lt;&gt;")&lt;C6),"INCOMPLETE DATA",IF(OR(K6="",L6="",M6="",N6="",O6="",P6=""),"INCOMPLETE EVIDENCE",IF(N6&lt;&gt;"Ja","NOT COMPARABLE","COMPLETE"))))))</x:f>
      </x:c>
    </x:row>
    <x:row r="7" ht="39" customHeight="1">
      <x:c r="A7" s="70" t="str">
        <x:v>C03</x:v>
      </x:c>
      <x:c r="B7" s="70" t="str">
        <x:f>IFERROR(INDEX('02_Kandidaten'!$C$5:$C$12,MATCH(A7,'02_Kandidaten'!$A$5:$A$12,0)),"")</x:f>
      </x:c>
      <x:c r="C7" s="70" t="str">
        <x:f>IF(B7="","",COUNTIF('05_Testcases'!$B$6:$B$2005,A7))</x:f>
      </x:c>
      <x:c r="D7" s="70" t="str">
        <x:f>IF(B7="","",SUMIFS('05_Testcases'!$E$6:$E$2005,'05_Testcases'!$B$6:$B$2005,A7))</x:f>
      </x:c>
      <x:c r="E7" s="110" t="str">
        <x:f>IF(B7="","",SUMIFS('05_Testcases'!$Q$6:$Q$2005,'05_Testcases'!$B$6:$B$2005,A7))</x:f>
      </x:c>
      <x:c r="F7" s="110" t="str">
        <x:f>IF(OR(B7="",D7=0),"",E7/D7)</x:f>
      </x:c>
      <x:c r="G7" s="110" t="str">
        <x:f>IF(B7="","",SUMIFS('05_Testcases'!$R$6:$R$2005,'05_Testcases'!$B$6:$B$2005,A7))</x:f>
      </x:c>
      <x:c r="H7" s="110" t="str">
        <x:f>IF(OR(B7="",D7=0),"",G7/D7)</x:f>
      </x:c>
      <x:c r="I7" s="110" t="str">
        <x:f>IF(B7="","",SUMIFS('05_Testcases'!$S$6:$S$2005,'05_Testcases'!$B$6:$B$2005,A7))</x:f>
      </x:c>
      <x:c r="J7" s="110" t="str">
        <x:f>IF(OR(B7="",D7=0),"",I7/D7)</x:f>
      </x:c>
      <x:c r="K7" s="66"/>
      <x:c r="L7" s="66"/>
      <x:c r="M7" s="66"/>
      <x:c r="N7" s="66"/>
      <x:c r="O7" s="66"/>
      <x:c r="P7" s="66"/>
      <x:c r="Q7" s="70" t="str">
        <x:f>IF(B7="","",IF('01_Intake'!$B$43&lt;&gt;"Ja","N/A",IF(C7=0,"NO DATA",IF(OR(COUNTIFS('05_Testcases'!$B$6:$B$2005,A7,'05_Testcases'!$Q$6:$Q$2005,"&lt;&gt;")&lt;C7,COUNTIFS('05_Testcases'!$B$6:$B$2005,A7,'05_Testcases'!$R$6:$R$2005,"&lt;&gt;")&lt;C7,COUNTIFS('05_Testcases'!$B$6:$B$2005,A7,'05_Testcases'!$S$6:$S$2005,"&lt;&gt;")&lt;C7),"INCOMPLETE DATA",IF(OR(K7="",L7="",M7="",N7="",O7="",P7=""),"INCOMPLETE EVIDENCE",IF(N7&lt;&gt;"Ja","NOT COMPARABLE","COMPLETE"))))))</x:f>
      </x:c>
    </x:row>
    <x:row r="8" ht="39" customHeight="1">
      <x:c r="A8" s="70" t="str">
        <x:v>C04</x:v>
      </x:c>
      <x:c r="B8" s="70" t="str">
        <x:f>IFERROR(INDEX('02_Kandidaten'!$C$5:$C$12,MATCH(A8,'02_Kandidaten'!$A$5:$A$12,0)),"")</x:f>
      </x:c>
      <x:c r="C8" s="70" t="str">
        <x:f>IF(B8="","",COUNTIF('05_Testcases'!$B$6:$B$2005,A8))</x:f>
      </x:c>
      <x:c r="D8" s="70" t="str">
        <x:f>IF(B8="","",SUMIFS('05_Testcases'!$E$6:$E$2005,'05_Testcases'!$B$6:$B$2005,A8))</x:f>
      </x:c>
      <x:c r="E8" s="110" t="str">
        <x:f>IF(B8="","",SUMIFS('05_Testcases'!$Q$6:$Q$2005,'05_Testcases'!$B$6:$B$2005,A8))</x:f>
      </x:c>
      <x:c r="F8" s="110" t="str">
        <x:f>IF(OR(B8="",D8=0),"",E8/D8)</x:f>
      </x:c>
      <x:c r="G8" s="110" t="str">
        <x:f>IF(B8="","",SUMIFS('05_Testcases'!$R$6:$R$2005,'05_Testcases'!$B$6:$B$2005,A8))</x:f>
      </x:c>
      <x:c r="H8" s="110" t="str">
        <x:f>IF(OR(B8="",D8=0),"",G8/D8)</x:f>
      </x:c>
      <x:c r="I8" s="110" t="str">
        <x:f>IF(B8="","",SUMIFS('05_Testcases'!$S$6:$S$2005,'05_Testcases'!$B$6:$B$2005,A8))</x:f>
      </x:c>
      <x:c r="J8" s="110" t="str">
        <x:f>IF(OR(B8="",D8=0),"",I8/D8)</x:f>
      </x:c>
      <x:c r="K8" s="66"/>
      <x:c r="L8" s="66"/>
      <x:c r="M8" s="66"/>
      <x:c r="N8" s="66"/>
      <x:c r="O8" s="66"/>
      <x:c r="P8" s="66"/>
      <x:c r="Q8" s="70" t="str">
        <x:f>IF(B8="","",IF('01_Intake'!$B$43&lt;&gt;"Ja","N/A",IF(C8=0,"NO DATA",IF(OR(COUNTIFS('05_Testcases'!$B$6:$B$2005,A8,'05_Testcases'!$Q$6:$Q$2005,"&lt;&gt;")&lt;C8,COUNTIFS('05_Testcases'!$B$6:$B$2005,A8,'05_Testcases'!$R$6:$R$2005,"&lt;&gt;")&lt;C8,COUNTIFS('05_Testcases'!$B$6:$B$2005,A8,'05_Testcases'!$S$6:$S$2005,"&lt;&gt;")&lt;C8),"INCOMPLETE DATA",IF(OR(K8="",L8="",M8="",N8="",O8="",P8=""),"INCOMPLETE EVIDENCE",IF(N8&lt;&gt;"Ja","NOT COMPARABLE","COMPLETE"))))))</x:f>
      </x:c>
    </x:row>
    <x:row r="9" ht="39" customHeight="1">
      <x:c r="A9" s="70" t="str">
        <x:v>C05</x:v>
      </x:c>
      <x:c r="B9" s="70" t="str">
        <x:f>IFERROR(INDEX('02_Kandidaten'!$C$5:$C$12,MATCH(A9,'02_Kandidaten'!$A$5:$A$12,0)),"")</x:f>
      </x:c>
      <x:c r="C9" s="70" t="str">
        <x:f>IF(B9="","",COUNTIF('05_Testcases'!$B$6:$B$2005,A9))</x:f>
      </x:c>
      <x:c r="D9" s="70" t="str">
        <x:f>IF(B9="","",SUMIFS('05_Testcases'!$E$6:$E$2005,'05_Testcases'!$B$6:$B$2005,A9))</x:f>
      </x:c>
      <x:c r="E9" s="110" t="str">
        <x:f>IF(B9="","",SUMIFS('05_Testcases'!$Q$6:$Q$2005,'05_Testcases'!$B$6:$B$2005,A9))</x:f>
      </x:c>
      <x:c r="F9" s="110" t="str">
        <x:f>IF(OR(B9="",D9=0),"",E9/D9)</x:f>
      </x:c>
      <x:c r="G9" s="110" t="str">
        <x:f>IF(B9="","",SUMIFS('05_Testcases'!$R$6:$R$2005,'05_Testcases'!$B$6:$B$2005,A9))</x:f>
      </x:c>
      <x:c r="H9" s="110" t="str">
        <x:f>IF(OR(B9="",D9=0),"",G9/D9)</x:f>
      </x:c>
      <x:c r="I9" s="110" t="str">
        <x:f>IF(B9="","",SUMIFS('05_Testcases'!$S$6:$S$2005,'05_Testcases'!$B$6:$B$2005,A9))</x:f>
      </x:c>
      <x:c r="J9" s="110" t="str">
        <x:f>IF(OR(B9="",D9=0),"",I9/D9)</x:f>
      </x:c>
      <x:c r="K9" s="66"/>
      <x:c r="L9" s="66"/>
      <x:c r="M9" s="66"/>
      <x:c r="N9" s="66"/>
      <x:c r="O9" s="66"/>
      <x:c r="P9" s="66"/>
      <x:c r="Q9" s="70" t="str">
        <x:f>IF(B9="","",IF('01_Intake'!$B$43&lt;&gt;"Ja","N/A",IF(C9=0,"NO DATA",IF(OR(COUNTIFS('05_Testcases'!$B$6:$B$2005,A9,'05_Testcases'!$Q$6:$Q$2005,"&lt;&gt;")&lt;C9,COUNTIFS('05_Testcases'!$B$6:$B$2005,A9,'05_Testcases'!$R$6:$R$2005,"&lt;&gt;")&lt;C9,COUNTIFS('05_Testcases'!$B$6:$B$2005,A9,'05_Testcases'!$S$6:$S$2005,"&lt;&gt;")&lt;C9),"INCOMPLETE DATA",IF(OR(K9="",L9="",M9="",N9="",O9="",P9=""),"INCOMPLETE EVIDENCE",IF(N9&lt;&gt;"Ja","NOT COMPARABLE","COMPLETE"))))))</x:f>
      </x:c>
    </x:row>
    <x:row r="10" ht="39" customHeight="1">
      <x:c r="A10" s="70" t="str">
        <x:v>C06</x:v>
      </x:c>
      <x:c r="B10" s="70" t="str">
        <x:f>IFERROR(INDEX('02_Kandidaten'!$C$5:$C$12,MATCH(A10,'02_Kandidaten'!$A$5:$A$12,0)),"")</x:f>
      </x:c>
      <x:c r="C10" s="70" t="str">
        <x:f>IF(B10="","",COUNTIF('05_Testcases'!$B$6:$B$2005,A10))</x:f>
      </x:c>
      <x:c r="D10" s="70" t="str">
        <x:f>IF(B10="","",SUMIFS('05_Testcases'!$E$6:$E$2005,'05_Testcases'!$B$6:$B$2005,A10))</x:f>
      </x:c>
      <x:c r="E10" s="110" t="str">
        <x:f>IF(B10="","",SUMIFS('05_Testcases'!$Q$6:$Q$2005,'05_Testcases'!$B$6:$B$2005,A10))</x:f>
      </x:c>
      <x:c r="F10" s="110" t="str">
        <x:f>IF(OR(B10="",D10=0),"",E10/D10)</x:f>
      </x:c>
      <x:c r="G10" s="110" t="str">
        <x:f>IF(B10="","",SUMIFS('05_Testcases'!$R$6:$R$2005,'05_Testcases'!$B$6:$B$2005,A10))</x:f>
      </x:c>
      <x:c r="H10" s="110" t="str">
        <x:f>IF(OR(B10="",D10=0),"",G10/D10)</x:f>
      </x:c>
      <x:c r="I10" s="110" t="str">
        <x:f>IF(B10="","",SUMIFS('05_Testcases'!$S$6:$S$2005,'05_Testcases'!$B$6:$B$2005,A10))</x:f>
      </x:c>
      <x:c r="J10" s="110" t="str">
        <x:f>IF(OR(B10="",D10=0),"",I10/D10)</x:f>
      </x:c>
      <x:c r="K10" s="66"/>
      <x:c r="L10" s="66"/>
      <x:c r="M10" s="66"/>
      <x:c r="N10" s="66"/>
      <x:c r="O10" s="66"/>
      <x:c r="P10" s="66"/>
      <x:c r="Q10" s="70" t="str">
        <x:f>IF(B10="","",IF('01_Intake'!$B$43&lt;&gt;"Ja","N/A",IF(C10=0,"NO DATA",IF(OR(COUNTIFS('05_Testcases'!$B$6:$B$2005,A10,'05_Testcases'!$Q$6:$Q$2005,"&lt;&gt;")&lt;C10,COUNTIFS('05_Testcases'!$B$6:$B$2005,A10,'05_Testcases'!$R$6:$R$2005,"&lt;&gt;")&lt;C10,COUNTIFS('05_Testcases'!$B$6:$B$2005,A10,'05_Testcases'!$S$6:$S$2005,"&lt;&gt;")&lt;C10),"INCOMPLETE DATA",IF(OR(K10="",L10="",M10="",N10="",O10="",P10=""),"INCOMPLETE EVIDENCE",IF(N10&lt;&gt;"Ja","NOT COMPARABLE","COMPLETE"))))))</x:f>
      </x:c>
    </x:row>
    <x:row r="11" ht="39" customHeight="1">
      <x:c r="A11" s="70" t="str">
        <x:v>C07</x:v>
      </x:c>
      <x:c r="B11" s="70" t="str">
        <x:f>IFERROR(INDEX('02_Kandidaten'!$C$5:$C$12,MATCH(A11,'02_Kandidaten'!$A$5:$A$12,0)),"")</x:f>
      </x:c>
      <x:c r="C11" s="70" t="str">
        <x:f>IF(B11="","",COUNTIF('05_Testcases'!$B$6:$B$2005,A11))</x:f>
      </x:c>
      <x:c r="D11" s="70" t="str">
        <x:f>IF(B11="","",SUMIFS('05_Testcases'!$E$6:$E$2005,'05_Testcases'!$B$6:$B$2005,A11))</x:f>
      </x:c>
      <x:c r="E11" s="110" t="str">
        <x:f>IF(B11="","",SUMIFS('05_Testcases'!$Q$6:$Q$2005,'05_Testcases'!$B$6:$B$2005,A11))</x:f>
      </x:c>
      <x:c r="F11" s="110" t="str">
        <x:f>IF(OR(B11="",D11=0),"",E11/D11)</x:f>
      </x:c>
      <x:c r="G11" s="110" t="str">
        <x:f>IF(B11="","",SUMIFS('05_Testcases'!$R$6:$R$2005,'05_Testcases'!$B$6:$B$2005,A11))</x:f>
      </x:c>
      <x:c r="H11" s="110" t="str">
        <x:f>IF(OR(B11="",D11=0),"",G11/D11)</x:f>
      </x:c>
      <x:c r="I11" s="110" t="str">
        <x:f>IF(B11="","",SUMIFS('05_Testcases'!$S$6:$S$2005,'05_Testcases'!$B$6:$B$2005,A11))</x:f>
      </x:c>
      <x:c r="J11" s="110" t="str">
        <x:f>IF(OR(B11="",D11=0),"",I11/D11)</x:f>
      </x:c>
      <x:c r="K11" s="66"/>
      <x:c r="L11" s="66"/>
      <x:c r="M11" s="66"/>
      <x:c r="N11" s="66"/>
      <x:c r="O11" s="66"/>
      <x:c r="P11" s="66"/>
      <x:c r="Q11" s="70" t="str">
        <x:f>IF(B11="","",IF('01_Intake'!$B$43&lt;&gt;"Ja","N/A",IF(C11=0,"NO DATA",IF(OR(COUNTIFS('05_Testcases'!$B$6:$B$2005,A11,'05_Testcases'!$Q$6:$Q$2005,"&lt;&gt;")&lt;C11,COUNTIFS('05_Testcases'!$B$6:$B$2005,A11,'05_Testcases'!$R$6:$R$2005,"&lt;&gt;")&lt;C11,COUNTIFS('05_Testcases'!$B$6:$B$2005,A11,'05_Testcases'!$S$6:$S$2005,"&lt;&gt;")&lt;C11),"INCOMPLETE DATA",IF(OR(K11="",L11="",M11="",N11="",O11="",P11=""),"INCOMPLETE EVIDENCE",IF(N11&lt;&gt;"Ja","NOT COMPARABLE","COMPLETE"))))))</x:f>
      </x:c>
    </x:row>
    <x:row r="12" ht="39" customHeight="1">
      <x:c r="A12" s="70" t="str">
        <x:v>C08</x:v>
      </x:c>
      <x:c r="B12" s="70" t="str">
        <x:f>IFERROR(INDEX('02_Kandidaten'!$C$5:$C$12,MATCH(A12,'02_Kandidaten'!$A$5:$A$12,0)),"")</x:f>
      </x:c>
      <x:c r="C12" s="70" t="str">
        <x:f>IF(B12="","",COUNTIF('05_Testcases'!$B$6:$B$2005,A12))</x:f>
      </x:c>
      <x:c r="D12" s="70" t="str">
        <x:f>IF(B12="","",SUMIFS('05_Testcases'!$E$6:$E$2005,'05_Testcases'!$B$6:$B$2005,A12))</x:f>
      </x:c>
      <x:c r="E12" s="110" t="str">
        <x:f>IF(B12="","",SUMIFS('05_Testcases'!$Q$6:$Q$2005,'05_Testcases'!$B$6:$B$2005,A12))</x:f>
      </x:c>
      <x:c r="F12" s="110" t="str">
        <x:f>IF(OR(B12="",D12=0),"",E12/D12)</x:f>
      </x:c>
      <x:c r="G12" s="110" t="str">
        <x:f>IF(B12="","",SUMIFS('05_Testcases'!$R$6:$R$2005,'05_Testcases'!$B$6:$B$2005,A12))</x:f>
      </x:c>
      <x:c r="H12" s="110" t="str">
        <x:f>IF(OR(B12="",D12=0),"",G12/D12)</x:f>
      </x:c>
      <x:c r="I12" s="110" t="str">
        <x:f>IF(B12="","",SUMIFS('05_Testcases'!$S$6:$S$2005,'05_Testcases'!$B$6:$B$2005,A12))</x:f>
      </x:c>
      <x:c r="J12" s="110" t="str">
        <x:f>IF(OR(B12="",D12=0),"",I12/D12)</x:f>
      </x:c>
      <x:c r="K12" s="66"/>
      <x:c r="L12" s="66"/>
      <x:c r="M12" s="66"/>
      <x:c r="N12" s="66"/>
      <x:c r="O12" s="66"/>
      <x:c r="P12" s="66"/>
      <x:c r="Q12" s="70" t="str">
        <x:f>IF(B12="","",IF('01_Intake'!$B$43&lt;&gt;"Ja","N/A",IF(C12=0,"NO DATA",IF(OR(COUNTIFS('05_Testcases'!$B$6:$B$2005,A12,'05_Testcases'!$Q$6:$Q$2005,"&lt;&gt;")&lt;C12,COUNTIFS('05_Testcases'!$B$6:$B$2005,A12,'05_Testcases'!$R$6:$R$2005,"&lt;&gt;")&lt;C12,COUNTIFS('05_Testcases'!$B$6:$B$2005,A12,'05_Testcases'!$S$6:$S$2005,"&lt;&gt;")&lt;C12),"INCOMPLETE DATA",IF(OR(K12="",L12="",M12="",N12="",O12="",P12=""),"INCOMPLETE EVIDENCE",IF(N12&lt;&gt;"Ja","NOT COMPARABLE","COMPLETE"))))))</x:f>
      </x:c>
    </x:row>
    <x:row r="13">
      <x:c r="A13" s="151"/>
      <x:c r="B13" s="151"/>
      <x:c r="C13" s="151"/>
      <x:c r="D13" s="151"/>
      <x:c r="E13" s="151"/>
      <x:c r="F13" s="151"/>
      <x:c r="G13" s="151"/>
      <x:c r="H13" s="151"/>
      <x:c r="I13" s="151"/>
      <x:c r="J13" s="151"/>
      <x:c r="K13" s="151"/>
      <x:c r="L13" s="151"/>
      <x:c r="M13" s="151"/>
      <x:c r="N13" s="151"/>
      <x:c r="O13" s="151"/>
      <x:c r="P13" s="151"/>
      <x:c r="Q13" s="151"/>
    </x:row>
    <x:row r="14">
      <x:c r="A14" s="151"/>
      <x:c r="B14" s="151"/>
      <x:c r="C14" s="151"/>
      <x:c r="D14" s="151"/>
      <x:c r="E14" s="151"/>
      <x:c r="F14" s="151"/>
      <x:c r="G14" s="151"/>
      <x:c r="H14" s="151"/>
      <x:c r="I14" s="151"/>
      <x:c r="J14" s="151"/>
      <x:c r="K14" s="151"/>
      <x:c r="L14" s="151"/>
      <x:c r="M14" s="151"/>
      <x:c r="N14" s="151"/>
      <x:c r="O14" s="151"/>
      <x:c r="P14" s="151"/>
      <x:c r="Q14" s="151"/>
    </x:row>
    <x:row r="15">
      <x:c r="A15" s="158" t="str">
        <x:v>Bewijsregister</x:v>
      </x:c>
      <x:c r="B15" s="158"/>
      <x:c r="C15" s="158"/>
      <x:c r="D15" s="158"/>
      <x:c r="E15" s="158"/>
      <x:c r="F15" s="158"/>
      <x:c r="G15" s="158"/>
      <x:c r="H15" s="158"/>
      <x:c r="I15" s="151"/>
      <x:c r="J15" s="96" t="str">
        <x:v>Bewijsgraad
A = primair gemeten / onafhankelijk sterk
B = gedocumenteerde leverancier of reproduceerbare secundaire bron
C = redelijke proxy / schatting
U = onbekend
Een cijfer zonder systeemgrens en methode is geen vergelijkbaar bewijs.</x:v>
      </x:c>
      <x:c r="K15" s="97"/>
      <x:c r="L15" s="97"/>
      <x:c r="M15" s="97"/>
      <x:c r="N15" s="97"/>
      <x:c r="O15" s="97"/>
      <x:c r="P15" s="97"/>
      <x:c r="Q15" s="98"/>
    </x:row>
    <x:row r="16">
      <x:c r="A16" s="151"/>
      <x:c r="B16" s="151"/>
      <x:c r="C16" s="151"/>
      <x:c r="D16" s="151"/>
      <x:c r="E16" s="151"/>
      <x:c r="F16" s="151"/>
      <x:c r="G16" s="151"/>
      <x:c r="H16" s="151"/>
      <x:c r="I16" s="151"/>
      <x:c r="J16" s="99"/>
      <x:c r="K16" s="100"/>
      <x:c r="L16" s="100"/>
      <x:c r="M16" s="100"/>
      <x:c r="N16" s="100"/>
      <x:c r="O16" s="100"/>
      <x:c r="P16" s="100"/>
      <x:c r="Q16" s="101"/>
    </x:row>
    <x:row r="17">
      <x:c r="A17" s="159" t="str">
        <x:v>Bewijs-ID</x:v>
      </x:c>
      <x:c r="B17" s="159" t="str">
        <x:v>Type</x:v>
      </x:c>
      <x:c r="C17" s="159" t="str">
        <x:v>Bron / document</x:v>
      </x:c>
      <x:c r="D17" s="159" t="str">
        <x:v>Eigenaar</x:v>
      </x:c>
      <x:c r="E17" s="159" t="str">
        <x:v>Datum</x:v>
      </x:c>
      <x:c r="F17" s="159" t="str">
        <x:v>Graad</x:v>
      </x:c>
      <x:c r="G17" s="159" t="str">
        <x:v>Beperkingen</x:v>
      </x:c>
      <x:c r="H17" s="159" t="str">
        <x:v>Link / locatie</x:v>
      </x:c>
      <x:c r="I17" s="151"/>
      <x:c r="J17" s="99"/>
      <x:c r="K17" s="100"/>
      <x:c r="L17" s="100"/>
      <x:c r="M17" s="100"/>
      <x:c r="N17" s="100"/>
      <x:c r="O17" s="100"/>
      <x:c r="P17" s="100"/>
      <x:c r="Q17" s="101"/>
    </x:row>
    <x:row r="18">
      <x:c r="A18" s="66" t="str"/>
      <x:c r="B18" s="66" t="str"/>
      <x:c r="C18" s="66" t="str"/>
      <x:c r="D18" s="66" t="str"/>
      <x:c r="E18" s="67" t="str"/>
      <x:c r="F18" s="66" t="str"/>
      <x:c r="G18" s="66" t="str"/>
      <x:c r="H18" s="66" t="str"/>
      <x:c r="I18" s="151"/>
      <x:c r="J18" s="99"/>
      <x:c r="K18" s="100"/>
      <x:c r="L18" s="100"/>
      <x:c r="M18" s="100"/>
      <x:c r="N18" s="100"/>
      <x:c r="O18" s="100"/>
      <x:c r="P18" s="100"/>
      <x:c r="Q18" s="101"/>
    </x:row>
    <x:row r="19">
      <x:c r="A19" s="66" t="str"/>
      <x:c r="B19" s="66" t="str"/>
      <x:c r="C19" s="66" t="str"/>
      <x:c r="D19" s="66" t="str"/>
      <x:c r="E19" s="67" t="str"/>
      <x:c r="F19" s="66" t="str"/>
      <x:c r="G19" s="66" t="str"/>
      <x:c r="H19" s="66" t="str"/>
      <x:c r="I19" s="151"/>
      <x:c r="J19" s="99"/>
      <x:c r="K19" s="100"/>
      <x:c r="L19" s="100"/>
      <x:c r="M19" s="100"/>
      <x:c r="N19" s="100"/>
      <x:c r="O19" s="100"/>
      <x:c r="P19" s="100"/>
      <x:c r="Q19" s="101"/>
    </x:row>
    <x:row r="20">
      <x:c r="A20" s="66" t="str"/>
      <x:c r="B20" s="66" t="str"/>
      <x:c r="C20" s="66" t="str"/>
      <x:c r="D20" s="66" t="str"/>
      <x:c r="E20" s="67" t="str"/>
      <x:c r="F20" s="66" t="str"/>
      <x:c r="G20" s="66" t="str"/>
      <x:c r="H20" s="66" t="str"/>
      <x:c r="I20" s="151"/>
      <x:c r="J20" s="102"/>
      <x:c r="K20" s="103"/>
      <x:c r="L20" s="103"/>
      <x:c r="M20" s="103"/>
      <x:c r="N20" s="103"/>
      <x:c r="O20" s="103"/>
      <x:c r="P20" s="103"/>
      <x:c r="Q20" s="104"/>
    </x:row>
    <x:row r="21">
      <x:c r="A21" s="66" t="str"/>
      <x:c r="B21" s="66" t="str"/>
      <x:c r="C21" s="66" t="str"/>
      <x:c r="D21" s="66" t="str"/>
      <x:c r="E21" s="67" t="str"/>
      <x:c r="F21" s="66" t="str"/>
      <x:c r="G21" s="66" t="str"/>
      <x:c r="H21" s="66" t="str"/>
      <x:c r="I21" s="151"/>
      <x:c r="J21" s="151"/>
      <x:c r="K21" s="151"/>
      <x:c r="L21" s="151"/>
      <x:c r="M21" s="151"/>
      <x:c r="N21" s="151"/>
      <x:c r="O21" s="151"/>
      <x:c r="P21" s="151"/>
      <x:c r="Q21" s="151"/>
    </x:row>
    <x:row r="22">
      <x:c r="A22" s="66" t="str"/>
      <x:c r="B22" s="66" t="str"/>
      <x:c r="C22" s="66" t="str"/>
      <x:c r="D22" s="66" t="str"/>
      <x:c r="E22" s="67" t="str"/>
      <x:c r="F22" s="66" t="str"/>
      <x:c r="G22" s="66" t="str"/>
      <x:c r="H22" s="66" t="str"/>
      <x:c r="I22" s="151"/>
      <x:c r="J22" s="151"/>
      <x:c r="K22" s="151"/>
      <x:c r="L22" s="151"/>
      <x:c r="M22" s="151"/>
      <x:c r="N22" s="151"/>
      <x:c r="O22" s="151"/>
      <x:c r="P22" s="151"/>
      <x:c r="Q22" s="151"/>
    </x:row>
    <x:row r="23">
      <x:c r="A23" s="66" t="str"/>
      <x:c r="B23" s="66" t="str"/>
      <x:c r="C23" s="66" t="str"/>
      <x:c r="D23" s="66" t="str"/>
      <x:c r="E23" s="67" t="str"/>
      <x:c r="F23" s="66" t="str"/>
      <x:c r="G23" s="66" t="str"/>
      <x:c r="H23" s="66" t="str"/>
      <x:c r="I23" s="151"/>
      <x:c r="J23" s="151"/>
      <x:c r="K23" s="151"/>
      <x:c r="L23" s="151"/>
      <x:c r="M23" s="151"/>
      <x:c r="N23" s="151"/>
      <x:c r="O23" s="151"/>
      <x:c r="P23" s="151"/>
      <x:c r="Q23" s="151"/>
    </x:row>
    <x:row r="24">
      <x:c r="A24" s="66" t="str"/>
      <x:c r="B24" s="66" t="str"/>
      <x:c r="C24" s="66" t="str"/>
      <x:c r="D24" s="66" t="str"/>
      <x:c r="E24" s="67" t="str"/>
      <x:c r="F24" s="66" t="str"/>
      <x:c r="G24" s="66" t="str"/>
      <x:c r="H24" s="66" t="str"/>
      <x:c r="I24" s="151"/>
      <x:c r="J24" s="151"/>
      <x:c r="K24" s="151"/>
      <x:c r="L24" s="151"/>
      <x:c r="M24" s="151"/>
      <x:c r="N24" s="151"/>
      <x:c r="O24" s="151"/>
      <x:c r="P24" s="151"/>
      <x:c r="Q24" s="151"/>
    </x:row>
    <x:row r="25">
      <x:c r="A25" s="66" t="str"/>
      <x:c r="B25" s="66" t="str"/>
      <x:c r="C25" s="66" t="str"/>
      <x:c r="D25" s="66" t="str"/>
      <x:c r="E25" s="67" t="str"/>
      <x:c r="F25" s="66" t="str"/>
      <x:c r="G25" s="66" t="str"/>
      <x:c r="H25" s="66" t="str"/>
      <x:c r="I25" s="151"/>
      <x:c r="J25" s="151"/>
      <x:c r="K25" s="151"/>
      <x:c r="L25" s="151"/>
      <x:c r="M25" s="151"/>
      <x:c r="N25" s="151"/>
      <x:c r="O25" s="151"/>
      <x:c r="P25" s="151"/>
      <x:c r="Q25" s="151"/>
    </x:row>
    <x:row r="26">
      <x:c r="A26" s="66" t="str"/>
      <x:c r="B26" s="66" t="str"/>
      <x:c r="C26" s="66" t="str"/>
      <x:c r="D26" s="66" t="str"/>
      <x:c r="E26" s="67" t="str"/>
      <x:c r="F26" s="66" t="str"/>
      <x:c r="G26" s="66" t="str"/>
      <x:c r="H26" s="66" t="str"/>
      <x:c r="I26" s="151"/>
      <x:c r="J26" s="151"/>
      <x:c r="K26" s="151"/>
      <x:c r="L26" s="151"/>
      <x:c r="M26" s="151"/>
      <x:c r="N26" s="151"/>
      <x:c r="O26" s="151"/>
      <x:c r="P26" s="151"/>
      <x:c r="Q26" s="151"/>
    </x:row>
    <x:row r="27">
      <x:c r="A27" s="66" t="str"/>
      <x:c r="B27" s="66" t="str"/>
      <x:c r="C27" s="66" t="str"/>
      <x:c r="D27" s="66" t="str"/>
      <x:c r="E27" s="67" t="str"/>
      <x:c r="F27" s="66" t="str"/>
      <x:c r="G27" s="66" t="str"/>
      <x:c r="H27" s="66" t="str"/>
      <x:c r="I27" s="151"/>
      <x:c r="J27" s="151"/>
      <x:c r="K27" s="151"/>
      <x:c r="L27" s="151"/>
      <x:c r="M27" s="151"/>
      <x:c r="N27" s="151"/>
      <x:c r="O27" s="151"/>
      <x:c r="P27" s="151"/>
      <x:c r="Q27" s="151"/>
    </x:row>
    <x:row r="28">
      <x:c r="A28" s="66" t="str"/>
      <x:c r="B28" s="66" t="str"/>
      <x:c r="C28" s="66" t="str"/>
      <x:c r="D28" s="66" t="str"/>
      <x:c r="E28" s="67" t="str"/>
      <x:c r="F28" s="66" t="str"/>
      <x:c r="G28" s="66" t="str"/>
      <x:c r="H28" s="66" t="str"/>
      <x:c r="I28" s="151"/>
      <x:c r="J28" s="151"/>
      <x:c r="K28" s="151"/>
      <x:c r="L28" s="151"/>
      <x:c r="M28" s="151"/>
      <x:c r="N28" s="151"/>
      <x:c r="O28" s="151"/>
      <x:c r="P28" s="151"/>
      <x:c r="Q28" s="151"/>
    </x:row>
    <x:row r="29">
      <x:c r="A29" s="66" t="str"/>
      <x:c r="B29" s="66" t="str"/>
      <x:c r="C29" s="66" t="str"/>
      <x:c r="D29" s="66" t="str"/>
      <x:c r="E29" s="67" t="str"/>
      <x:c r="F29" s="66" t="str"/>
      <x:c r="G29" s="66" t="str"/>
      <x:c r="H29" s="66" t="str"/>
      <x:c r="I29" s="151"/>
      <x:c r="J29" s="151"/>
      <x:c r="K29" s="151"/>
      <x:c r="L29" s="151"/>
      <x:c r="M29" s="151"/>
      <x:c r="N29" s="151"/>
      <x:c r="O29" s="151"/>
      <x:c r="P29" s="151"/>
      <x:c r="Q29" s="151"/>
    </x:row>
    <x:row r="30">
      <x:c r="A30" s="66" t="str"/>
      <x:c r="B30" s="66" t="str"/>
      <x:c r="C30" s="66" t="str"/>
      <x:c r="D30" s="66" t="str"/>
      <x:c r="E30" s="67" t="str"/>
      <x:c r="F30" s="66" t="str"/>
      <x:c r="G30" s="66" t="str"/>
      <x:c r="H30" s="66" t="str"/>
      <x:c r="I30" s="151"/>
      <x:c r="J30" s="151"/>
      <x:c r="K30" s="151"/>
      <x:c r="L30" s="151"/>
      <x:c r="M30" s="151"/>
      <x:c r="N30" s="151"/>
      <x:c r="O30" s="151"/>
      <x:c r="P30" s="151"/>
      <x:c r="Q30" s="151"/>
    </x:row>
    <x:row r="31">
      <x:c r="A31" s="66" t="str"/>
      <x:c r="B31" s="66" t="str"/>
      <x:c r="C31" s="66" t="str"/>
      <x:c r="D31" s="66" t="str"/>
      <x:c r="E31" s="67" t="str"/>
      <x:c r="F31" s="66" t="str"/>
      <x:c r="G31" s="66" t="str"/>
      <x:c r="H31" s="66" t="str"/>
      <x:c r="I31" s="151"/>
      <x:c r="J31" s="151"/>
      <x:c r="K31" s="151"/>
      <x:c r="L31" s="151"/>
      <x:c r="M31" s="151"/>
      <x:c r="N31" s="151"/>
      <x:c r="O31" s="151"/>
      <x:c r="P31" s="151"/>
      <x:c r="Q31" s="151"/>
    </x:row>
    <x:row r="32">
      <x:c r="A32" s="66" t="str"/>
      <x:c r="B32" s="66" t="str"/>
      <x:c r="C32" s="66" t="str"/>
      <x:c r="D32" s="66" t="str"/>
      <x:c r="E32" s="67" t="str"/>
      <x:c r="F32" s="66" t="str"/>
      <x:c r="G32" s="66" t="str"/>
      <x:c r="H32" s="66" t="str"/>
      <x:c r="I32" s="151"/>
      <x:c r="J32" s="151"/>
      <x:c r="K32" s="151"/>
      <x:c r="L32" s="151"/>
      <x:c r="M32" s="151"/>
      <x:c r="N32" s="151"/>
      <x:c r="O32" s="151"/>
      <x:c r="P32" s="151"/>
      <x:c r="Q32" s="151"/>
    </x:row>
    <x:row r="33">
      <x:c r="A33" s="66" t="str"/>
      <x:c r="B33" s="66" t="str"/>
      <x:c r="C33" s="66" t="str"/>
      <x:c r="D33" s="66" t="str"/>
      <x:c r="E33" s="67" t="str"/>
      <x:c r="F33" s="66" t="str"/>
      <x:c r="G33" s="66" t="str"/>
      <x:c r="H33" s="66" t="str"/>
      <x:c r="I33" s="151"/>
      <x:c r="J33" s="151"/>
      <x:c r="K33" s="151"/>
      <x:c r="L33" s="151"/>
      <x:c r="M33" s="151"/>
      <x:c r="N33" s="151"/>
      <x:c r="O33" s="151"/>
      <x:c r="P33" s="151"/>
      <x:c r="Q33" s="151"/>
    </x:row>
    <x:row r="34">
      <x:c r="A34" s="66" t="str"/>
      <x:c r="B34" s="66" t="str"/>
      <x:c r="C34" s="66" t="str"/>
      <x:c r="D34" s="66" t="str"/>
      <x:c r="E34" s="67" t="str"/>
      <x:c r="F34" s="66" t="str"/>
      <x:c r="G34" s="66" t="str"/>
      <x:c r="H34" s="66" t="str"/>
      <x:c r="I34" s="151"/>
      <x:c r="J34" s="151"/>
      <x:c r="K34" s="151"/>
      <x:c r="L34" s="151"/>
      <x:c r="M34" s="151"/>
      <x:c r="N34" s="151"/>
      <x:c r="O34" s="151"/>
      <x:c r="P34" s="151"/>
      <x:c r="Q34" s="151"/>
    </x:row>
    <x:row r="35">
      <x:c r="A35" s="66" t="str"/>
      <x:c r="B35" s="66" t="str"/>
      <x:c r="C35" s="66" t="str"/>
      <x:c r="D35" s="66" t="str"/>
      <x:c r="E35" s="67" t="str"/>
      <x:c r="F35" s="66" t="str"/>
      <x:c r="G35" s="66" t="str"/>
      <x:c r="H35" s="66" t="str"/>
      <x:c r="I35" s="151"/>
      <x:c r="J35" s="151"/>
      <x:c r="K35" s="151"/>
      <x:c r="L35" s="151"/>
      <x:c r="M35" s="151"/>
      <x:c r="N35" s="151"/>
      <x:c r="O35" s="151"/>
      <x:c r="P35" s="151"/>
      <x:c r="Q35" s="151"/>
    </x:row>
    <x:row r="36">
      <x:c r="A36" s="66" t="str"/>
      <x:c r="B36" s="66" t="str"/>
      <x:c r="C36" s="66" t="str"/>
      <x:c r="D36" s="66" t="str"/>
      <x:c r="E36" s="67" t="str"/>
      <x:c r="F36" s="66" t="str"/>
      <x:c r="G36" s="66" t="str"/>
      <x:c r="H36" s="66" t="str"/>
      <x:c r="I36" s="151"/>
      <x:c r="J36" s="151"/>
      <x:c r="K36" s="151"/>
      <x:c r="L36" s="151"/>
      <x:c r="M36" s="151"/>
      <x:c r="N36" s="151"/>
      <x:c r="O36" s="151"/>
      <x:c r="P36" s="151"/>
      <x:c r="Q36" s="151"/>
    </x:row>
    <x:row r="37">
      <x:c r="A37" s="66" t="str"/>
      <x:c r="B37" s="66" t="str"/>
      <x:c r="C37" s="66" t="str"/>
      <x:c r="D37" s="66" t="str"/>
      <x:c r="E37" s="67" t="str"/>
      <x:c r="F37" s="66" t="str"/>
      <x:c r="G37" s="66" t="str"/>
      <x:c r="H37" s="66" t="str"/>
      <x:c r="I37" s="151"/>
      <x:c r="J37" s="151"/>
      <x:c r="K37" s="151"/>
      <x:c r="L37" s="151"/>
      <x:c r="M37" s="151"/>
      <x:c r="N37" s="151"/>
      <x:c r="O37" s="151"/>
      <x:c r="P37" s="151"/>
      <x:c r="Q37" s="151"/>
    </x:row>
  </x:sheetData>
  <x:mergeCells>
    <x:mergeCell ref="A1:Q1"/>
    <x:mergeCell ref="A2:Q2"/>
    <x:mergeCell ref="A15:H15"/>
    <x:mergeCell ref="J15:Q20"/>
  </x:mergeCells>
  <x:conditionalFormatting sqref="Q5:Q12">
    <x:cfRule type="containsText" dxfId="32" priority="1" operator="containsText" text="PASS"/>
    <x:cfRule type="containsText" dxfId="33" priority="2" operator="containsText" text="READY"/>
    <x:cfRule type="containsText" dxfId="34" priority="3" operator="containsText" text="MORE EVIDENCE"/>
    <x:cfRule type="containsText" dxfId="35" priority="4" operator="containsText" text="CONDIT"/>
    <x:cfRule type="containsText" dxfId="36" priority="5" operator="containsText" text="HOLD"/>
    <x:cfRule type="containsText" dxfId="37" priority="6" operator="containsText" text="INCOMPLETE"/>
    <x:cfRule type="containsText" dxfId="38" priority="7" operator="containsText" text="FAIL"/>
    <x:cfRule type="containsText" dxfId="39" priority="8" operator="containsText" text="NOT ELIGIBLE"/>
  </x:conditionalFormatting>
  <x:dataValidations count="4">
    <x:dataValidation type="list" sqref="M5:M12">
      <x:formula1>"A,B,C,U"</x:formula1>
    </x:dataValidation>
    <x:dataValidation type="list" sqref="N5:N12">
      <x:formula1>"Ja,Nee"</x:formula1>
    </x:dataValidation>
    <x:dataValidation type="list" sqref="O5:O12">
      <x:formula1>"Ja,Nee,N.v.t."</x:formula1>
    </x:dataValidation>
    <x:dataValidation type="list" sqref="F18:F37">
      <x:formula1>"A,B,C,U"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4e67719ed25a4397"/>
    <x:tablePart xmlns:r="http://schemas.openxmlformats.org/officeDocument/2006/relationships" r:id="R49079b9a9f764a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20" hidden="0" customWidth="1"/>
    <x:col min="5" max="5" width="15" hidden="0" customWidth="1"/>
    <x:col min="6" max="6" width="15" hidden="0" customWidth="1"/>
    <x:col min="7" max="7" width="19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20" hidden="0" customWidth="1"/>
    <x:col min="13" max="13" width="18" hidden="0" customWidth="1"/>
    <x:col min="14" max="14" width="20" hidden="0" customWidth="1"/>
    <x:col min="15" max="15" width="22" hidden="0" customWidth="1"/>
    <x:col min="16" max="16" width="18" hidden="0" customWidth="1"/>
    <x:col min="17" max="17" width="25" hidden="0" customWidth="1"/>
    <x:col min="18" max="18" width="42" hidden="0" customWidth="1"/>
    <x:col min="19" max="19" width="21" hidden="0" customWidth="1"/>
  </x:cols>
  <x:sheetData>
    <x:row r="1" ht="31" customHeight="1">
      <x:c r="A1" s="149" t="str">
        <x:v>08 · Vergelijking en proportionaliteit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149"/>
      <x:c r="L1" s="149"/>
      <x:c r="M1" s="149"/>
      <x:c r="N1" s="149"/>
      <x:c r="O1" s="149"/>
      <x:c r="P1" s="149"/>
      <x:c r="Q1" s="149"/>
      <x:c r="R1" s="149"/>
      <x:c r="S1" s="149"/>
    </x:row>
    <x:row r="2" ht="31" customHeight="1">
      <x:c r="A2" s="150" t="str">
        <x:v>Geen verborgen totaalscore: maak marginale voordelen, lasten en context expliciet.</x:v>
      </x:c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  <x:c r="N2" s="150"/>
      <x:c r="O2" s="150"/>
      <x:c r="P2" s="150"/>
      <x:c r="Q2" s="150"/>
      <x:c r="R2" s="150"/>
      <x:c r="S2" s="150"/>
    </x:row>
    <x:row r="3">
      <x:c r="A3" s="151"/>
      <x:c r="B3" s="151"/>
      <x:c r="C3" s="151"/>
      <x:c r="D3" s="151"/>
      <x:c r="E3" s="151"/>
      <x:c r="F3" s="151"/>
      <x:c r="G3" s="151"/>
      <x:c r="H3" s="151"/>
      <x:c r="I3" s="151"/>
      <x:c r="J3" s="151"/>
      <x:c r="K3" s="151"/>
      <x:c r="L3" s="151"/>
      <x:c r="M3" s="151"/>
      <x:c r="N3" s="151"/>
      <x:c r="O3" s="151"/>
      <x:c r="P3" s="151"/>
      <x:c r="Q3" s="151"/>
      <x:c r="R3" s="151"/>
      <x:c r="S3" s="151"/>
    </x:row>
    <x:row r="4" ht="39" customHeight="1">
      <x:c r="A4" s="159" t="str">
        <x:v>Kandidaat-ID</x:v>
      </x:c>
      <x:c r="B4" s="159" t="str">
        <x:v>Naam</x:v>
      </x:c>
      <x:c r="C4" s="159" t="str">
        <x:v>Poort 1</x:v>
      </x:c>
      <x:c r="D4" s="159" t="str">
        <x:v>Poort 2</x:v>
      </x:c>
      <x:c r="E4" s="159" t="str">
        <x:v>Succes LCB</x:v>
      </x:c>
      <x:c r="F4" s="159" t="str">
        <x:v>Critical UCB</x:v>
      </x:c>
      <x:c r="G4" s="159" t="str">
        <x:v>EUR / geaccepteerd</x:v>
      </x:c>
      <x:c r="H4" s="159" t="str">
        <x:v>Mensmin / geaccepteerd</x:v>
      </x:c>
      <x:c r="I4" s="159" t="str">
        <x:v>Sec / geaccepteerd</x:v>
      </x:c>
      <x:c r="J4" s="159" t="str">
        <x:v>Retries / geaccepteerd</x:v>
      </x:c>
      <x:c r="K4" s="159" t="str">
        <x:v>kWh / geaccepteerd</x:v>
      </x:c>
      <x:c r="L4" s="159" t="str">
        <x:v>gCO2e / geaccepteerd</x:v>
      </x:c>
      <x:c r="M4" s="159" t="str">
        <x:v>Water L / geaccepteerd</x:v>
      </x:c>
      <x:c r="N4" s="159" t="str">
        <x:v>Milieubewijs</x:v>
      </x:c>
      <x:c r="O4" s="159" t="str">
        <x:v>Numeriek bewijs</x:v>
      </x:c>
      <x:c r="P4" s="159" t="str">
        <x:v>Frontierstatus</x:v>
      </x:c>
      <x:c r="Q4" s="159" t="str">
        <x:v>Proportionaliteit</x:v>
      </x:c>
      <x:c r="R4" s="159" t="str">
        <x:v>Kernmotivering</x:v>
      </x:c>
      <x:c r="S4" s="159" t="str">
        <x:v>Contextbewijs compleet?</x:v>
      </x:c>
    </x:row>
    <x:row r="5" ht="39" customHeight="1">
      <x:c r="A5" s="70" t="str">
        <x:v>C01</x:v>
      </x:c>
      <x:c r="B5" s="70" t="str">
        <x:f>IFERROR(INDEX('06_Analyse'!$B$5:$B$12,MATCH(A5,'06_Analyse'!$A$5:$A$12,0)),"")</x:f>
      </x:c>
      <x:c r="C5" s="70" t="str">
        <x:f>IFERROR(INDEX('06_Analyse'!$C$5:$C$12,MATCH(A5,'06_Analyse'!$A$5:$A$12,0)),"")</x:f>
      </x:c>
      <x:c r="D5" s="70" t="str">
        <x:f>IFERROR(INDEX('06_Analyse'!$P$5:$P$12,MATCH(A5,'06_Analyse'!$A$5:$A$12,0)),"")</x:f>
      </x:c>
      <x:c r="E5" s="111" t="str">
        <x:f>IFERROR(INDEX('06_Analyse'!$I$5:$I$12,MATCH(A5,'06_Analyse'!$A$5:$A$12,0)),"")</x:f>
      </x:c>
      <x:c r="F5" s="111" t="str">
        <x:f>IFERROR(INDEX('06_Analyse'!$L$5:$L$12,MATCH(A5,'06_Analyse'!$A$5:$A$12,0)),"")</x:f>
      </x:c>
      <x:c r="G5" s="110" t="str">
        <x:f>IFERROR(INDEX('06_Analyse'!$C$18:$C$25,MATCH(A5,'06_Analyse'!$A$18:$A$25,0)),"")</x:f>
      </x:c>
      <x:c r="H5" s="110" t="str">
        <x:f>IFERROR(INDEX('06_Analyse'!$D$18:$D$25,MATCH(A5,'06_Analyse'!$A$18:$A$25,0)),"")</x:f>
      </x:c>
      <x:c r="I5" s="110" t="str">
        <x:f>IFERROR(INDEX('06_Analyse'!$E$18:$E$25,MATCH(A5,'06_Analyse'!$A$18:$A$25,0)),"")</x:f>
      </x:c>
      <x:c r="J5" s="110" t="str">
        <x:f>IFERROR(INDEX('06_Analyse'!$F$18:$F$25,MATCH(A5,'06_Analyse'!$A$18:$A$25,0)),"")</x:f>
      </x:c>
      <x:c r="K5" s="110" t="str">
        <x:f>IFERROR(INDEX('06_Analyse'!$G$18:$G$25,MATCH(A5,'06_Analyse'!$A$18:$A$25,0)),"")</x:f>
      </x:c>
      <x:c r="L5" s="110" t="str">
        <x:f>IFERROR(INDEX('06_Analyse'!$H$18:$H$25,MATCH(A5,'06_Analyse'!$A$18:$A$25,0)),"")</x:f>
      </x:c>
      <x:c r="M5" s="110" t="str">
        <x:f>IFERROR(INDEX('06_Analyse'!$I$18:$I$25,MATCH(A5,'06_Analyse'!$A$18:$A$25,0)),"")</x:f>
      </x:c>
      <x:c r="N5" s="70" t="str">
        <x:f>IFERROR(INDEX('06_Analyse'!$M$18:$M$25,MATCH(A5,'06_Analyse'!$A$18:$A$25,0)),"")</x:f>
      </x:c>
      <x:c r="O5" s="70" t="str">
        <x:f>IFERROR(INDEX('06_Analyse'!$N$18:$N$25,MATCH(A5,'06_Analyse'!$A$18:$A$25,0)),"")</x:f>
      </x:c>
      <x:c r="P5" s="66"/>
      <x:c r="Q5" s="66"/>
      <x:c r="R5" s="66"/>
      <x:c r="S5" s="66"/>
    </x:row>
    <x:row r="6" ht="39" customHeight="1">
      <x:c r="A6" s="70" t="str">
        <x:v>C02</x:v>
      </x:c>
      <x:c r="B6" s="70" t="str">
        <x:f>IFERROR(INDEX('06_Analyse'!$B$5:$B$12,MATCH(A6,'06_Analyse'!$A$5:$A$12,0)),"")</x:f>
      </x:c>
      <x:c r="C6" s="70" t="str">
        <x:f>IFERROR(INDEX('06_Analyse'!$C$5:$C$12,MATCH(A6,'06_Analyse'!$A$5:$A$12,0)),"")</x:f>
      </x:c>
      <x:c r="D6" s="70" t="str">
        <x:f>IFERROR(INDEX('06_Analyse'!$P$5:$P$12,MATCH(A6,'06_Analyse'!$A$5:$A$12,0)),"")</x:f>
      </x:c>
      <x:c r="E6" s="111" t="str">
        <x:f>IFERROR(INDEX('06_Analyse'!$I$5:$I$12,MATCH(A6,'06_Analyse'!$A$5:$A$12,0)),"")</x:f>
      </x:c>
      <x:c r="F6" s="111" t="str">
        <x:f>IFERROR(INDEX('06_Analyse'!$L$5:$L$12,MATCH(A6,'06_Analyse'!$A$5:$A$12,0)),"")</x:f>
      </x:c>
      <x:c r="G6" s="110" t="str">
        <x:f>IFERROR(INDEX('06_Analyse'!$C$18:$C$25,MATCH(A6,'06_Analyse'!$A$18:$A$25,0)),"")</x:f>
      </x:c>
      <x:c r="H6" s="110" t="str">
        <x:f>IFERROR(INDEX('06_Analyse'!$D$18:$D$25,MATCH(A6,'06_Analyse'!$A$18:$A$25,0)),"")</x:f>
      </x:c>
      <x:c r="I6" s="110" t="str">
        <x:f>IFERROR(INDEX('06_Analyse'!$E$18:$E$25,MATCH(A6,'06_Analyse'!$A$18:$A$25,0)),"")</x:f>
      </x:c>
      <x:c r="J6" s="110" t="str">
        <x:f>IFERROR(INDEX('06_Analyse'!$F$18:$F$25,MATCH(A6,'06_Analyse'!$A$18:$A$25,0)),"")</x:f>
      </x:c>
      <x:c r="K6" s="110" t="str">
        <x:f>IFERROR(INDEX('06_Analyse'!$G$18:$G$25,MATCH(A6,'06_Analyse'!$A$18:$A$25,0)),"")</x:f>
      </x:c>
      <x:c r="L6" s="110" t="str">
        <x:f>IFERROR(INDEX('06_Analyse'!$H$18:$H$25,MATCH(A6,'06_Analyse'!$A$18:$A$25,0)),"")</x:f>
      </x:c>
      <x:c r="M6" s="110" t="str">
        <x:f>IFERROR(INDEX('06_Analyse'!$I$18:$I$25,MATCH(A6,'06_Analyse'!$A$18:$A$25,0)),"")</x:f>
      </x:c>
      <x:c r="N6" s="70" t="str">
        <x:f>IFERROR(INDEX('06_Analyse'!$M$18:$M$25,MATCH(A6,'06_Analyse'!$A$18:$A$25,0)),"")</x:f>
      </x:c>
      <x:c r="O6" s="70" t="str">
        <x:f>IFERROR(INDEX('06_Analyse'!$N$18:$N$25,MATCH(A6,'06_Analyse'!$A$18:$A$25,0)),"")</x:f>
      </x:c>
      <x:c r="P6" s="66"/>
      <x:c r="Q6" s="66"/>
      <x:c r="R6" s="66"/>
      <x:c r="S6" s="66"/>
    </x:row>
    <x:row r="7" ht="39" customHeight="1">
      <x:c r="A7" s="70" t="str">
        <x:v>C03</x:v>
      </x:c>
      <x:c r="B7" s="70" t="str">
        <x:f>IFERROR(INDEX('06_Analyse'!$B$5:$B$12,MATCH(A7,'06_Analyse'!$A$5:$A$12,0)),"")</x:f>
      </x:c>
      <x:c r="C7" s="70" t="str">
        <x:f>IFERROR(INDEX('06_Analyse'!$C$5:$C$12,MATCH(A7,'06_Analyse'!$A$5:$A$12,0)),"")</x:f>
      </x:c>
      <x:c r="D7" s="70" t="str">
        <x:f>IFERROR(INDEX('06_Analyse'!$P$5:$P$12,MATCH(A7,'06_Analyse'!$A$5:$A$12,0)),"")</x:f>
      </x:c>
      <x:c r="E7" s="111" t="str">
        <x:f>IFERROR(INDEX('06_Analyse'!$I$5:$I$12,MATCH(A7,'06_Analyse'!$A$5:$A$12,0)),"")</x:f>
      </x:c>
      <x:c r="F7" s="111" t="str">
        <x:f>IFERROR(INDEX('06_Analyse'!$L$5:$L$12,MATCH(A7,'06_Analyse'!$A$5:$A$12,0)),"")</x:f>
      </x:c>
      <x:c r="G7" s="110" t="str">
        <x:f>IFERROR(INDEX('06_Analyse'!$C$18:$C$25,MATCH(A7,'06_Analyse'!$A$18:$A$25,0)),"")</x:f>
      </x:c>
      <x:c r="H7" s="110" t="str">
        <x:f>IFERROR(INDEX('06_Analyse'!$D$18:$D$25,MATCH(A7,'06_Analyse'!$A$18:$A$25,0)),"")</x:f>
      </x:c>
      <x:c r="I7" s="110" t="str">
        <x:f>IFERROR(INDEX('06_Analyse'!$E$18:$E$25,MATCH(A7,'06_Analyse'!$A$18:$A$25,0)),"")</x:f>
      </x:c>
      <x:c r="J7" s="110" t="str">
        <x:f>IFERROR(INDEX('06_Analyse'!$F$18:$F$25,MATCH(A7,'06_Analyse'!$A$18:$A$25,0)),"")</x:f>
      </x:c>
      <x:c r="K7" s="110" t="str">
        <x:f>IFERROR(INDEX('06_Analyse'!$G$18:$G$25,MATCH(A7,'06_Analyse'!$A$18:$A$25,0)),"")</x:f>
      </x:c>
      <x:c r="L7" s="110" t="str">
        <x:f>IFERROR(INDEX('06_Analyse'!$H$18:$H$25,MATCH(A7,'06_Analyse'!$A$18:$A$25,0)),"")</x:f>
      </x:c>
      <x:c r="M7" s="110" t="str">
        <x:f>IFERROR(INDEX('06_Analyse'!$I$18:$I$25,MATCH(A7,'06_Analyse'!$A$18:$A$25,0)),"")</x:f>
      </x:c>
      <x:c r="N7" s="70" t="str">
        <x:f>IFERROR(INDEX('06_Analyse'!$M$18:$M$25,MATCH(A7,'06_Analyse'!$A$18:$A$25,0)),"")</x:f>
      </x:c>
      <x:c r="O7" s="70" t="str">
        <x:f>IFERROR(INDEX('06_Analyse'!$N$18:$N$25,MATCH(A7,'06_Analyse'!$A$18:$A$25,0)),"")</x:f>
      </x:c>
      <x:c r="P7" s="66"/>
      <x:c r="Q7" s="66"/>
      <x:c r="R7" s="66"/>
      <x:c r="S7" s="66"/>
    </x:row>
    <x:row r="8" ht="39" customHeight="1">
      <x:c r="A8" s="70" t="str">
        <x:v>C04</x:v>
      </x:c>
      <x:c r="B8" s="70" t="str">
        <x:f>IFERROR(INDEX('06_Analyse'!$B$5:$B$12,MATCH(A8,'06_Analyse'!$A$5:$A$12,0)),"")</x:f>
      </x:c>
      <x:c r="C8" s="70" t="str">
        <x:f>IFERROR(INDEX('06_Analyse'!$C$5:$C$12,MATCH(A8,'06_Analyse'!$A$5:$A$12,0)),"")</x:f>
      </x:c>
      <x:c r="D8" s="70" t="str">
        <x:f>IFERROR(INDEX('06_Analyse'!$P$5:$P$12,MATCH(A8,'06_Analyse'!$A$5:$A$12,0)),"")</x:f>
      </x:c>
      <x:c r="E8" s="111" t="str">
        <x:f>IFERROR(INDEX('06_Analyse'!$I$5:$I$12,MATCH(A8,'06_Analyse'!$A$5:$A$12,0)),"")</x:f>
      </x:c>
      <x:c r="F8" s="111" t="str">
        <x:f>IFERROR(INDEX('06_Analyse'!$L$5:$L$12,MATCH(A8,'06_Analyse'!$A$5:$A$12,0)),"")</x:f>
      </x:c>
      <x:c r="G8" s="110" t="str">
        <x:f>IFERROR(INDEX('06_Analyse'!$C$18:$C$25,MATCH(A8,'06_Analyse'!$A$18:$A$25,0)),"")</x:f>
      </x:c>
      <x:c r="H8" s="110" t="str">
        <x:f>IFERROR(INDEX('06_Analyse'!$D$18:$D$25,MATCH(A8,'06_Analyse'!$A$18:$A$25,0)),"")</x:f>
      </x:c>
      <x:c r="I8" s="110" t="str">
        <x:f>IFERROR(INDEX('06_Analyse'!$E$18:$E$25,MATCH(A8,'06_Analyse'!$A$18:$A$25,0)),"")</x:f>
      </x:c>
      <x:c r="J8" s="110" t="str">
        <x:f>IFERROR(INDEX('06_Analyse'!$F$18:$F$25,MATCH(A8,'06_Analyse'!$A$18:$A$25,0)),"")</x:f>
      </x:c>
      <x:c r="K8" s="110" t="str">
        <x:f>IFERROR(INDEX('06_Analyse'!$G$18:$G$25,MATCH(A8,'06_Analyse'!$A$18:$A$25,0)),"")</x:f>
      </x:c>
      <x:c r="L8" s="110" t="str">
        <x:f>IFERROR(INDEX('06_Analyse'!$H$18:$H$25,MATCH(A8,'06_Analyse'!$A$18:$A$25,0)),"")</x:f>
      </x:c>
      <x:c r="M8" s="110" t="str">
        <x:f>IFERROR(INDEX('06_Analyse'!$I$18:$I$25,MATCH(A8,'06_Analyse'!$A$18:$A$25,0)),"")</x:f>
      </x:c>
      <x:c r="N8" s="70" t="str">
        <x:f>IFERROR(INDEX('06_Analyse'!$M$18:$M$25,MATCH(A8,'06_Analyse'!$A$18:$A$25,0)),"")</x:f>
      </x:c>
      <x:c r="O8" s="70" t="str">
        <x:f>IFERROR(INDEX('06_Analyse'!$N$18:$N$25,MATCH(A8,'06_Analyse'!$A$18:$A$25,0)),"")</x:f>
      </x:c>
      <x:c r="P8" s="66"/>
      <x:c r="Q8" s="66"/>
      <x:c r="R8" s="66"/>
      <x:c r="S8" s="66"/>
    </x:row>
    <x:row r="9" ht="39" customHeight="1">
      <x:c r="A9" s="70" t="str">
        <x:v>C05</x:v>
      </x:c>
      <x:c r="B9" s="70" t="str">
        <x:f>IFERROR(INDEX('06_Analyse'!$B$5:$B$12,MATCH(A9,'06_Analyse'!$A$5:$A$12,0)),"")</x:f>
      </x:c>
      <x:c r="C9" s="70" t="str">
        <x:f>IFERROR(INDEX('06_Analyse'!$C$5:$C$12,MATCH(A9,'06_Analyse'!$A$5:$A$12,0)),"")</x:f>
      </x:c>
      <x:c r="D9" s="70" t="str">
        <x:f>IFERROR(INDEX('06_Analyse'!$P$5:$P$12,MATCH(A9,'06_Analyse'!$A$5:$A$12,0)),"")</x:f>
      </x:c>
      <x:c r="E9" s="111" t="str">
        <x:f>IFERROR(INDEX('06_Analyse'!$I$5:$I$12,MATCH(A9,'06_Analyse'!$A$5:$A$12,0)),"")</x:f>
      </x:c>
      <x:c r="F9" s="111" t="str">
        <x:f>IFERROR(INDEX('06_Analyse'!$L$5:$L$12,MATCH(A9,'06_Analyse'!$A$5:$A$12,0)),"")</x:f>
      </x:c>
      <x:c r="G9" s="110" t="str">
        <x:f>IFERROR(INDEX('06_Analyse'!$C$18:$C$25,MATCH(A9,'06_Analyse'!$A$18:$A$25,0)),"")</x:f>
      </x:c>
      <x:c r="H9" s="110" t="str">
        <x:f>IFERROR(INDEX('06_Analyse'!$D$18:$D$25,MATCH(A9,'06_Analyse'!$A$18:$A$25,0)),"")</x:f>
      </x:c>
      <x:c r="I9" s="110" t="str">
        <x:f>IFERROR(INDEX('06_Analyse'!$E$18:$E$25,MATCH(A9,'06_Analyse'!$A$18:$A$25,0)),"")</x:f>
      </x:c>
      <x:c r="J9" s="110" t="str">
        <x:f>IFERROR(INDEX('06_Analyse'!$F$18:$F$25,MATCH(A9,'06_Analyse'!$A$18:$A$25,0)),"")</x:f>
      </x:c>
      <x:c r="K9" s="110" t="str">
        <x:f>IFERROR(INDEX('06_Analyse'!$G$18:$G$25,MATCH(A9,'06_Analyse'!$A$18:$A$25,0)),"")</x:f>
      </x:c>
      <x:c r="L9" s="110" t="str">
        <x:f>IFERROR(INDEX('06_Analyse'!$H$18:$H$25,MATCH(A9,'06_Analyse'!$A$18:$A$25,0)),"")</x:f>
      </x:c>
      <x:c r="M9" s="110" t="str">
        <x:f>IFERROR(INDEX('06_Analyse'!$I$18:$I$25,MATCH(A9,'06_Analyse'!$A$18:$A$25,0)),"")</x:f>
      </x:c>
      <x:c r="N9" s="70" t="str">
        <x:f>IFERROR(INDEX('06_Analyse'!$M$18:$M$25,MATCH(A9,'06_Analyse'!$A$18:$A$25,0)),"")</x:f>
      </x:c>
      <x:c r="O9" s="70" t="str">
        <x:f>IFERROR(INDEX('06_Analyse'!$N$18:$N$25,MATCH(A9,'06_Analyse'!$A$18:$A$25,0)),"")</x:f>
      </x:c>
      <x:c r="P9" s="66"/>
      <x:c r="Q9" s="66"/>
      <x:c r="R9" s="66"/>
      <x:c r="S9" s="66"/>
    </x:row>
    <x:row r="10" ht="39" customHeight="1">
      <x:c r="A10" s="70" t="str">
        <x:v>C06</x:v>
      </x:c>
      <x:c r="B10" s="70" t="str">
        <x:f>IFERROR(INDEX('06_Analyse'!$B$5:$B$12,MATCH(A10,'06_Analyse'!$A$5:$A$12,0)),"")</x:f>
      </x:c>
      <x:c r="C10" s="70" t="str">
        <x:f>IFERROR(INDEX('06_Analyse'!$C$5:$C$12,MATCH(A10,'06_Analyse'!$A$5:$A$12,0)),"")</x:f>
      </x:c>
      <x:c r="D10" s="70" t="str">
        <x:f>IFERROR(INDEX('06_Analyse'!$P$5:$P$12,MATCH(A10,'06_Analyse'!$A$5:$A$12,0)),"")</x:f>
      </x:c>
      <x:c r="E10" s="111" t="str">
        <x:f>IFERROR(INDEX('06_Analyse'!$I$5:$I$12,MATCH(A10,'06_Analyse'!$A$5:$A$12,0)),"")</x:f>
      </x:c>
      <x:c r="F10" s="111" t="str">
        <x:f>IFERROR(INDEX('06_Analyse'!$L$5:$L$12,MATCH(A10,'06_Analyse'!$A$5:$A$12,0)),"")</x:f>
      </x:c>
      <x:c r="G10" s="110" t="str">
        <x:f>IFERROR(INDEX('06_Analyse'!$C$18:$C$25,MATCH(A10,'06_Analyse'!$A$18:$A$25,0)),"")</x:f>
      </x:c>
      <x:c r="H10" s="110" t="str">
        <x:f>IFERROR(INDEX('06_Analyse'!$D$18:$D$25,MATCH(A10,'06_Analyse'!$A$18:$A$25,0)),"")</x:f>
      </x:c>
      <x:c r="I10" s="110" t="str">
        <x:f>IFERROR(INDEX('06_Analyse'!$E$18:$E$25,MATCH(A10,'06_Analyse'!$A$18:$A$25,0)),"")</x:f>
      </x:c>
      <x:c r="J10" s="110" t="str">
        <x:f>IFERROR(INDEX('06_Analyse'!$F$18:$F$25,MATCH(A10,'06_Analyse'!$A$18:$A$25,0)),"")</x:f>
      </x:c>
      <x:c r="K10" s="110" t="str">
        <x:f>IFERROR(INDEX('06_Analyse'!$G$18:$G$25,MATCH(A10,'06_Analyse'!$A$18:$A$25,0)),"")</x:f>
      </x:c>
      <x:c r="L10" s="110" t="str">
        <x:f>IFERROR(INDEX('06_Analyse'!$H$18:$H$25,MATCH(A10,'06_Analyse'!$A$18:$A$25,0)),"")</x:f>
      </x:c>
      <x:c r="M10" s="110" t="str">
        <x:f>IFERROR(INDEX('06_Analyse'!$I$18:$I$25,MATCH(A10,'06_Analyse'!$A$18:$A$25,0)),"")</x:f>
      </x:c>
      <x:c r="N10" s="70" t="str">
        <x:f>IFERROR(INDEX('06_Analyse'!$M$18:$M$25,MATCH(A10,'06_Analyse'!$A$18:$A$25,0)),"")</x:f>
      </x:c>
      <x:c r="O10" s="70" t="str">
        <x:f>IFERROR(INDEX('06_Analyse'!$N$18:$N$25,MATCH(A10,'06_Analyse'!$A$18:$A$25,0)),"")</x:f>
      </x:c>
      <x:c r="P10" s="66"/>
      <x:c r="Q10" s="66"/>
      <x:c r="R10" s="66"/>
      <x:c r="S10" s="66"/>
    </x:row>
    <x:row r="11" ht="39" customHeight="1">
      <x:c r="A11" s="70" t="str">
        <x:v>C07</x:v>
      </x:c>
      <x:c r="B11" s="70" t="str">
        <x:f>IFERROR(INDEX('06_Analyse'!$B$5:$B$12,MATCH(A11,'06_Analyse'!$A$5:$A$12,0)),"")</x:f>
      </x:c>
      <x:c r="C11" s="70" t="str">
        <x:f>IFERROR(INDEX('06_Analyse'!$C$5:$C$12,MATCH(A11,'06_Analyse'!$A$5:$A$12,0)),"")</x:f>
      </x:c>
      <x:c r="D11" s="70" t="str">
        <x:f>IFERROR(INDEX('06_Analyse'!$P$5:$P$12,MATCH(A11,'06_Analyse'!$A$5:$A$12,0)),"")</x:f>
      </x:c>
      <x:c r="E11" s="111" t="str">
        <x:f>IFERROR(INDEX('06_Analyse'!$I$5:$I$12,MATCH(A11,'06_Analyse'!$A$5:$A$12,0)),"")</x:f>
      </x:c>
      <x:c r="F11" s="111" t="str">
        <x:f>IFERROR(INDEX('06_Analyse'!$L$5:$L$12,MATCH(A11,'06_Analyse'!$A$5:$A$12,0)),"")</x:f>
      </x:c>
      <x:c r="G11" s="110" t="str">
        <x:f>IFERROR(INDEX('06_Analyse'!$C$18:$C$25,MATCH(A11,'06_Analyse'!$A$18:$A$25,0)),"")</x:f>
      </x:c>
      <x:c r="H11" s="110" t="str">
        <x:f>IFERROR(INDEX('06_Analyse'!$D$18:$D$25,MATCH(A11,'06_Analyse'!$A$18:$A$25,0)),"")</x:f>
      </x:c>
      <x:c r="I11" s="110" t="str">
        <x:f>IFERROR(INDEX('06_Analyse'!$E$18:$E$25,MATCH(A11,'06_Analyse'!$A$18:$A$25,0)),"")</x:f>
      </x:c>
      <x:c r="J11" s="110" t="str">
        <x:f>IFERROR(INDEX('06_Analyse'!$F$18:$F$25,MATCH(A11,'06_Analyse'!$A$18:$A$25,0)),"")</x:f>
      </x:c>
      <x:c r="K11" s="110" t="str">
        <x:f>IFERROR(INDEX('06_Analyse'!$G$18:$G$25,MATCH(A11,'06_Analyse'!$A$18:$A$25,0)),"")</x:f>
      </x:c>
      <x:c r="L11" s="110" t="str">
        <x:f>IFERROR(INDEX('06_Analyse'!$H$18:$H$25,MATCH(A11,'06_Analyse'!$A$18:$A$25,0)),"")</x:f>
      </x:c>
      <x:c r="M11" s="110" t="str">
        <x:f>IFERROR(INDEX('06_Analyse'!$I$18:$I$25,MATCH(A11,'06_Analyse'!$A$18:$A$25,0)),"")</x:f>
      </x:c>
      <x:c r="N11" s="70" t="str">
        <x:f>IFERROR(INDEX('06_Analyse'!$M$18:$M$25,MATCH(A11,'06_Analyse'!$A$18:$A$25,0)),"")</x:f>
      </x:c>
      <x:c r="O11" s="70" t="str">
        <x:f>IFERROR(INDEX('06_Analyse'!$N$18:$N$25,MATCH(A11,'06_Analyse'!$A$18:$A$25,0)),"")</x:f>
      </x:c>
      <x:c r="P11" s="66"/>
      <x:c r="Q11" s="66"/>
      <x:c r="R11" s="66"/>
      <x:c r="S11" s="66"/>
    </x:row>
    <x:row r="12" ht="39" customHeight="1">
      <x:c r="A12" s="70" t="str">
        <x:v>C08</x:v>
      </x:c>
      <x:c r="B12" s="70" t="str">
        <x:f>IFERROR(INDEX('06_Analyse'!$B$5:$B$12,MATCH(A12,'06_Analyse'!$A$5:$A$12,0)),"")</x:f>
      </x:c>
      <x:c r="C12" s="70" t="str">
        <x:f>IFERROR(INDEX('06_Analyse'!$C$5:$C$12,MATCH(A12,'06_Analyse'!$A$5:$A$12,0)),"")</x:f>
      </x:c>
      <x:c r="D12" s="70" t="str">
        <x:f>IFERROR(INDEX('06_Analyse'!$P$5:$P$12,MATCH(A12,'06_Analyse'!$A$5:$A$12,0)),"")</x:f>
      </x:c>
      <x:c r="E12" s="111" t="str">
        <x:f>IFERROR(INDEX('06_Analyse'!$I$5:$I$12,MATCH(A12,'06_Analyse'!$A$5:$A$12,0)),"")</x:f>
      </x:c>
      <x:c r="F12" s="111" t="str">
        <x:f>IFERROR(INDEX('06_Analyse'!$L$5:$L$12,MATCH(A12,'06_Analyse'!$A$5:$A$12,0)),"")</x:f>
      </x:c>
      <x:c r="G12" s="110" t="str">
        <x:f>IFERROR(INDEX('06_Analyse'!$C$18:$C$25,MATCH(A12,'06_Analyse'!$A$18:$A$25,0)),"")</x:f>
      </x:c>
      <x:c r="H12" s="110" t="str">
        <x:f>IFERROR(INDEX('06_Analyse'!$D$18:$D$25,MATCH(A12,'06_Analyse'!$A$18:$A$25,0)),"")</x:f>
      </x:c>
      <x:c r="I12" s="110" t="str">
        <x:f>IFERROR(INDEX('06_Analyse'!$E$18:$E$25,MATCH(A12,'06_Analyse'!$A$18:$A$25,0)),"")</x:f>
      </x:c>
      <x:c r="J12" s="110" t="str">
        <x:f>IFERROR(INDEX('06_Analyse'!$F$18:$F$25,MATCH(A12,'06_Analyse'!$A$18:$A$25,0)),"")</x:f>
      </x:c>
      <x:c r="K12" s="110" t="str">
        <x:f>IFERROR(INDEX('06_Analyse'!$G$18:$G$25,MATCH(A12,'06_Analyse'!$A$18:$A$25,0)),"")</x:f>
      </x:c>
      <x:c r="L12" s="110" t="str">
        <x:f>IFERROR(INDEX('06_Analyse'!$H$18:$H$25,MATCH(A12,'06_Analyse'!$A$18:$A$25,0)),"")</x:f>
      </x:c>
      <x:c r="M12" s="110" t="str">
        <x:f>IFERROR(INDEX('06_Analyse'!$I$18:$I$25,MATCH(A12,'06_Analyse'!$A$18:$A$25,0)),"")</x:f>
      </x:c>
      <x:c r="N12" s="70" t="str">
        <x:f>IFERROR(INDEX('06_Analyse'!$M$18:$M$25,MATCH(A12,'06_Analyse'!$A$18:$A$25,0)),"")</x:f>
      </x:c>
      <x:c r="O12" s="70" t="str">
        <x:f>IFERROR(INDEX('06_Analyse'!$N$18:$N$25,MATCH(A12,'06_Analyse'!$A$18:$A$25,0)),"")</x:f>
      </x:c>
      <x:c r="P12" s="66"/>
      <x:c r="Q12" s="66"/>
      <x:c r="R12" s="66"/>
      <x:c r="S12" s="66"/>
    </x:row>
    <x:row r="13">
      <x:c r="A13" s="151"/>
      <x:c r="B13" s="151"/>
      <x:c r="C13" s="151"/>
      <x:c r="D13" s="151"/>
      <x:c r="E13" s="151"/>
      <x:c r="F13" s="151"/>
      <x:c r="G13" s="151"/>
      <x:c r="H13" s="151"/>
      <x:c r="I13" s="151"/>
      <x:c r="J13" s="151"/>
      <x:c r="K13" s="151"/>
      <x:c r="L13" s="151"/>
      <x:c r="M13" s="151"/>
      <x:c r="N13" s="151"/>
      <x:c r="O13" s="151"/>
      <x:c r="P13" s="151"/>
      <x:c r="Q13" s="151"/>
      <x:c r="R13" s="151"/>
      <x:c r="S13" s="151"/>
    </x:row>
    <x:row r="14">
      <x:c r="A14" s="151"/>
      <x:c r="B14" s="151"/>
      <x:c r="C14" s="151"/>
      <x:c r="D14" s="151"/>
      <x:c r="E14" s="151"/>
      <x:c r="F14" s="151"/>
      <x:c r="G14" s="151"/>
      <x:c r="H14" s="151"/>
      <x:c r="I14" s="151"/>
      <x:c r="J14" s="151"/>
      <x:c r="K14" s="151"/>
      <x:c r="L14" s="151"/>
      <x:c r="M14" s="151"/>
      <x:c r="N14" s="151"/>
      <x:c r="O14" s="151"/>
      <x:c r="P14" s="151"/>
      <x:c r="Q14" s="151"/>
      <x:c r="R14" s="151"/>
      <x:c r="S14" s="151"/>
    </x:row>
    <x:row r="15">
      <x:c r="A15" s="158" t="str">
        <x:v>Pairwise marginale vergelijking</x:v>
      </x:c>
      <x:c r="B15" s="158"/>
      <x:c r="C15" s="158"/>
      <x:c r="D15" s="158"/>
      <x:c r="E15" s="158"/>
      <x:c r="F15" s="158"/>
      <x:c r="G15" s="158" t="str">
        <x:v>Contextuele vergelijking — niet reduceren tot één cijfer</x:v>
      </x:c>
      <x:c r="H15" s="158"/>
      <x:c r="I15" s="158"/>
      <x:c r="J15" s="158"/>
      <x:c r="K15" s="158"/>
      <x:c r="L15" s="158"/>
      <x:c r="M15" s="158"/>
      <x:c r="N15" s="158"/>
      <x:c r="O15" s="158"/>
      <x:c r="P15" s="158"/>
      <x:c r="Q15" s="158"/>
      <x:c r="R15" s="158"/>
      <x:c r="S15" s="158"/>
    </x:row>
    <x:row r="16">
      <x:c r="A16" s="151"/>
      <x:c r="B16" s="151"/>
      <x:c r="C16" s="151"/>
      <x:c r="D16" s="151"/>
      <x:c r="E16" s="151"/>
      <x:c r="F16" s="151"/>
      <x:c r="G16" s="151"/>
      <x:c r="H16" s="151"/>
      <x:c r="I16" s="151"/>
      <x:c r="J16" s="151"/>
      <x:c r="K16" s="151"/>
      <x:c r="L16" s="151"/>
      <x:c r="M16" s="151"/>
      <x:c r="N16" s="151"/>
      <x:c r="O16" s="151"/>
      <x:c r="P16" s="151"/>
      <x:c r="Q16" s="151"/>
      <x:c r="R16" s="151"/>
      <x:c r="S16" s="151"/>
    </x:row>
    <x:row r="17" ht="34" customHeight="1">
      <x:c r="A17" s="63" t="str">
        <x:v>Kandidaat A</x:v>
      </x:c>
      <x:c r="B17" s="66" t="str"/>
      <x:c r="C17" s="151"/>
      <x:c r="D17" s="151"/>
      <x:c r="E17" s="151"/>
      <x:c r="F17" s="151"/>
      <x:c r="G17" s="159" t="str">
        <x:v>Dimensie</x:v>
      </x:c>
      <x:c r="H17" s="159" t="str">
        <x:v>Kandidaat A: bewijs/duiding</x:v>
      </x:c>
      <x:c r="I17" s="159" t="str">
        <x:v>Kandidaat B: bewijs/duiding</x:v>
      </x:c>
      <x:c r="J17" s="159" t="str">
        <x:v>Oordeel / trade-off</x:v>
      </x:c>
      <x:c r="K17" s="159" t="str">
        <x:v>Bewijs-ID</x:v>
      </x:c>
      <x:c r="L17" s="151"/>
      <x:c r="M17" s="151"/>
      <x:c r="N17" s="151"/>
      <x:c r="O17" s="151"/>
      <x:c r="P17" s="151"/>
      <x:c r="Q17" s="151"/>
      <x:c r="R17" s="151"/>
      <x:c r="S17" s="151"/>
    </x:row>
    <x:row r="18" ht="34" customHeight="1">
      <x:c r="A18" s="63" t="str">
        <x:v>Kandidaat B / baseline</x:v>
      </x:c>
      <x:c r="B18" s="66" t="str"/>
      <x:c r="C18" s="151"/>
      <x:c r="D18" s="151"/>
      <x:c r="E18" s="151"/>
      <x:c r="F18" s="151"/>
      <x:c r="G18" s="63" t="str">
        <x:v>Autonomie, lock-in en exit</x:v>
      </x:c>
      <x:c r="H18" s="66"/>
      <x:c r="I18" s="66"/>
      <x:c r="J18" s="66"/>
      <x:c r="K18" s="66"/>
      <x:c r="L18" s="151"/>
      <x:c r="M18" s="151"/>
      <x:c r="N18" s="151"/>
      <x:c r="O18" s="151"/>
      <x:c r="P18" s="151"/>
      <x:c r="Q18" s="151"/>
      <x:c r="R18" s="151"/>
      <x:c r="S18" s="151"/>
    </x:row>
    <x:row r="19" ht="34" customHeight="1">
      <x:c r="A19" s="151"/>
      <x:c r="B19" s="151"/>
      <x:c r="C19" s="151"/>
      <x:c r="D19" s="151"/>
      <x:c r="E19" s="151"/>
      <x:c r="F19" s="151"/>
      <x:c r="G19" s="63" t="str">
        <x:v>Corrigeerbaarheid, rollback en incidentrespons</x:v>
      </x:c>
      <x:c r="H19" s="66"/>
      <x:c r="I19" s="66"/>
      <x:c r="J19" s="66"/>
      <x:c r="K19" s="66"/>
      <x:c r="L19" s="151"/>
      <x:c r="M19" s="151"/>
      <x:c r="N19" s="151"/>
      <x:c r="O19" s="151"/>
      <x:c r="P19" s="151"/>
      <x:c r="Q19" s="151"/>
      <x:c r="R19" s="151"/>
      <x:c r="S19" s="151"/>
    </x:row>
    <x:row r="20" ht="34" customHeight="1">
      <x:c r="A20" s="159" t="str">
        <x:v>Maatstaf</x:v>
      </x:c>
      <x:c r="B20" s="159" t="str">
        <x:v>Kandidaat A</x:v>
      </x:c>
      <x:c r="C20" s="159" t="str">
        <x:v>Kandidaat B</x:v>
      </x:c>
      <x:c r="D20" s="159" t="str">
        <x:v>Verschil A-B</x:v>
      </x:c>
      <x:c r="E20" s="159" t="str">
        <x:v>Interpretatie</x:v>
      </x:c>
      <x:c r="F20" s="151"/>
      <x:c r="G20" s="63" t="str">
        <x:v>Toegankelijkheid, inclusie en verdeling van effecten</x:v>
      </x:c>
      <x:c r="H20" s="66"/>
      <x:c r="I20" s="66"/>
      <x:c r="J20" s="66"/>
      <x:c r="K20" s="66"/>
      <x:c r="L20" s="151"/>
      <x:c r="M20" s="151"/>
      <x:c r="N20" s="151"/>
      <x:c r="O20" s="151"/>
      <x:c r="P20" s="151"/>
      <x:c r="Q20" s="151"/>
      <x:c r="R20" s="151"/>
      <x:c r="S20" s="151"/>
    </x:row>
    <x:row r="21" ht="34" customHeight="1">
      <x:c r="A21" s="63" t="str">
        <x:v>Succes LCB</x:v>
      </x:c>
      <x:c r="B21" s="111" t="str">
        <x:f>IFERROR(INDEX($E$5:$E$12,MATCH($B$17,$A$5:$A$12,0)),"")</x:f>
      </x:c>
      <x:c r="C21" s="111" t="str">
        <x:f>IFERROR(INDEX($E$5:$E$12,MATCH($B$18,$A$5:$A$12,0)),"")</x:f>
      </x:c>
      <x:c r="D21" s="111" t="str">
        <x:f>IF(OR(B21="",C21=""),"",B21-C21)</x:f>
      </x:c>
      <x:c r="E21" s="167" t="str">
        <x:v>Hoger is beter</x:v>
      </x:c>
      <x:c r="F21" s="151"/>
      <x:c r="G21" s="63" t="str">
        <x:v>Implementatie- en onderhoudslast</x:v>
      </x:c>
      <x:c r="H21" s="66"/>
      <x:c r="I21" s="66"/>
      <x:c r="J21" s="66"/>
      <x:c r="K21" s="66"/>
      <x:c r="L21" s="151"/>
      <x:c r="M21" s="151"/>
      <x:c r="N21" s="151"/>
      <x:c r="O21" s="151"/>
      <x:c r="P21" s="151"/>
      <x:c r="Q21" s="151"/>
      <x:c r="R21" s="151"/>
      <x:c r="S21" s="151"/>
    </x:row>
    <x:row r="22" ht="34" customHeight="1">
      <x:c r="A22" s="63" t="str">
        <x:v>Critical UCB</x:v>
      </x:c>
      <x:c r="B22" s="111" t="str">
        <x:f>IFERROR(INDEX($F$5:$F$12,MATCH($B$17,$A$5:$A$12,0)),"")</x:f>
      </x:c>
      <x:c r="C22" s="111" t="str">
        <x:f>IFERROR(INDEX($F$5:$F$12,MATCH($B$18,$A$5:$A$12,0)),"")</x:f>
      </x:c>
      <x:c r="D22" s="111" t="str">
        <x:f>IF(OR(B22="",C22=""),"",B22-C22)</x:f>
      </x:c>
      <x:c r="E22" s="167" t="str">
        <x:v>Lager is beter</x:v>
      </x:c>
      <x:c r="F22" s="151"/>
      <x:c r="G22" s="63" t="str">
        <x:v>Taakspecifieke waarde / overige gevolgen</x:v>
      </x:c>
      <x:c r="H22" s="66"/>
      <x:c r="I22" s="66"/>
      <x:c r="J22" s="66"/>
      <x:c r="K22" s="66"/>
      <x:c r="L22" s="151"/>
      <x:c r="M22" s="151"/>
      <x:c r="N22" s="151"/>
      <x:c r="O22" s="151"/>
      <x:c r="P22" s="151"/>
      <x:c r="Q22" s="151"/>
      <x:c r="R22" s="151"/>
      <x:c r="S22" s="151"/>
    </x:row>
    <x:row r="23" ht="34" customHeight="1">
      <x:c r="A23" s="63" t="str">
        <x:v>EUR / geaccepteerd</x:v>
      </x:c>
      <x:c r="B23" s="110" t="str">
        <x:f>IFERROR(INDEX($G$5:$G$12,MATCH($B$17,$A$5:$A$12,0)),"")</x:f>
      </x:c>
      <x:c r="C23" s="110" t="str">
        <x:f>IFERROR(INDEX($G$5:$G$12,MATCH($B$18,$A$5:$A$12,0)),"")</x:f>
      </x:c>
      <x:c r="D23" s="110" t="str">
        <x:f>IF(OR(B23="",C23=""),"",B23-C23)</x:f>
      </x:c>
      <x:c r="E23" s="167" t="str">
        <x:v>Lager is beter</x:v>
      </x:c>
      <x:c r="F23" s="151"/>
      <x:c r="G23" s="151"/>
      <x:c r="H23" s="151"/>
      <x:c r="I23" s="151"/>
      <x:c r="J23" s="151"/>
      <x:c r="K23" s="151"/>
      <x:c r="L23" s="151"/>
      <x:c r="M23" s="151"/>
      <x:c r="N23" s="151"/>
      <x:c r="O23" s="151"/>
      <x:c r="P23" s="151"/>
      <x:c r="Q23" s="151"/>
      <x:c r="R23" s="151"/>
      <x:c r="S23" s="151"/>
    </x:row>
    <x:row r="24" ht="34" customHeight="1">
      <x:c r="A24" s="63" t="str">
        <x:v>Mensmin / geaccepteerd</x:v>
      </x:c>
      <x:c r="B24" s="110" t="str">
        <x:f>IFERROR(INDEX($H$5:$H$12,MATCH($B$17,$A$5:$A$12,0)),"")</x:f>
      </x:c>
      <x:c r="C24" s="110" t="str">
        <x:f>IFERROR(INDEX($H$5:$H$12,MATCH($B$18,$A$5:$A$12,0)),"")</x:f>
      </x:c>
      <x:c r="D24" s="110" t="str">
        <x:f>IF(OR(B24="",C24=""),"",B24-C24)</x:f>
      </x:c>
      <x:c r="E24" s="167" t="str">
        <x:v>Lager is beter</x:v>
      </x:c>
      <x:c r="F24" s="151"/>
      <x:c r="G24" s="165" t="str">
        <x:v>Beslisregel: een duurdere of zwaardere kandidaat is alleen proportioneel als de extra taakwaarde de extra lasten en afhankelijkheden aantoonbaar rechtvaardigt. Noteer bij S ‘Ja’ pas wanneer de voor deze casus besliskritieke contextdimensies zijn onderbouwd.</x:v>
      </x:c>
      <x:c r="H24" s="165"/>
      <x:c r="I24" s="165"/>
      <x:c r="J24" s="165"/>
      <x:c r="K24" s="165"/>
      <x:c r="L24" s="165"/>
      <x:c r="M24" s="165"/>
      <x:c r="N24" s="165"/>
      <x:c r="O24" s="165"/>
      <x:c r="P24" s="165"/>
      <x:c r="Q24" s="165"/>
      <x:c r="R24" s="165"/>
      <x:c r="S24" s="165"/>
    </x:row>
    <x:row r="25" ht="34" customHeight="1">
      <x:c r="A25" s="63" t="str">
        <x:v>Sec / geaccepteerd</x:v>
      </x:c>
      <x:c r="B25" s="110" t="str">
        <x:f>IFERROR(INDEX($I$5:$I$12,MATCH($B$17,$A$5:$A$12,0)),"")</x:f>
      </x:c>
      <x:c r="C25" s="110" t="str">
        <x:f>IFERROR(INDEX($I$5:$I$12,MATCH($B$18,$A$5:$A$12,0)),"")</x:f>
      </x:c>
      <x:c r="D25" s="110" t="str">
        <x:f>IF(OR(B25="",C25=""),"",B25-C25)</x:f>
      </x:c>
      <x:c r="E25" s="167" t="str">
        <x:v>Lager is beter</x:v>
      </x:c>
      <x:c r="F25" s="151"/>
      <x:c r="G25" s="165"/>
      <x:c r="H25" s="165"/>
      <x:c r="I25" s="165"/>
      <x:c r="J25" s="165"/>
      <x:c r="K25" s="165"/>
      <x:c r="L25" s="165"/>
      <x:c r="M25" s="165"/>
      <x:c r="N25" s="165"/>
      <x:c r="O25" s="165"/>
      <x:c r="P25" s="165"/>
      <x:c r="Q25" s="165"/>
      <x:c r="R25" s="165"/>
      <x:c r="S25" s="165"/>
    </x:row>
    <x:row r="26" ht="34" customHeight="1">
      <x:c r="A26" s="63" t="str">
        <x:v>Retries / geaccepteerd</x:v>
      </x:c>
      <x:c r="B26" s="110" t="str">
        <x:f>IFERROR(INDEX($J$5:$J$12,MATCH($B$17,$A$5:$A$12,0)),"")</x:f>
      </x:c>
      <x:c r="C26" s="110" t="str">
        <x:f>IFERROR(INDEX($J$5:$J$12,MATCH($B$18,$A$5:$A$12,0)),"")</x:f>
      </x:c>
      <x:c r="D26" s="110" t="str">
        <x:f>IF(OR(B26="",C26=""),"",B26-C26)</x:f>
      </x:c>
      <x:c r="E26" s="167" t="str">
        <x:v>Lager is beter</x:v>
      </x:c>
      <x:c r="F26" s="151"/>
      <x:c r="G26" s="165"/>
      <x:c r="H26" s="165"/>
      <x:c r="I26" s="165"/>
      <x:c r="J26" s="165"/>
      <x:c r="K26" s="165"/>
      <x:c r="L26" s="165"/>
      <x:c r="M26" s="165"/>
      <x:c r="N26" s="165"/>
      <x:c r="O26" s="165"/>
      <x:c r="P26" s="165"/>
      <x:c r="Q26" s="165"/>
      <x:c r="R26" s="165"/>
      <x:c r="S26" s="165"/>
    </x:row>
    <x:row r="27" ht="34" customHeight="1">
      <x:c r="A27" s="63" t="str">
        <x:v>kWh / geaccepteerd</x:v>
      </x:c>
      <x:c r="B27" s="110" t="str">
        <x:f>IFERROR(INDEX($K$5:$K$12,MATCH($B$17,$A$5:$A$12,0)),"")</x:f>
      </x:c>
      <x:c r="C27" s="110" t="str">
        <x:f>IFERROR(INDEX($K$5:$K$12,MATCH($B$18,$A$5:$A$12,0)),"")</x:f>
      </x:c>
      <x:c r="D27" s="110" t="str">
        <x:f>IF(OR(B27="",C27=""),"",B27-C27)</x:f>
      </x:c>
      <x:c r="E27" s="167" t="str">
        <x:v>Lager is beter</x:v>
      </x:c>
      <x:c r="F27" s="151"/>
      <x:c r="G27" s="165"/>
      <x:c r="H27" s="165"/>
      <x:c r="I27" s="165"/>
      <x:c r="J27" s="165"/>
      <x:c r="K27" s="165"/>
      <x:c r="L27" s="165"/>
      <x:c r="M27" s="165"/>
      <x:c r="N27" s="165"/>
      <x:c r="O27" s="165"/>
      <x:c r="P27" s="165"/>
      <x:c r="Q27" s="165"/>
      <x:c r="R27" s="165"/>
      <x:c r="S27" s="165"/>
    </x:row>
    <x:row r="28" ht="34" customHeight="1">
      <x:c r="A28" s="63" t="str">
        <x:v>gCO2e / geaccepteerd</x:v>
      </x:c>
      <x:c r="B28" s="110" t="str">
        <x:f>IFERROR(INDEX($L$5:$L$12,MATCH($B$17,$A$5:$A$12,0)),"")</x:f>
      </x:c>
      <x:c r="C28" s="110" t="str">
        <x:f>IFERROR(INDEX($L$5:$L$12,MATCH($B$18,$A$5:$A$12,0)),"")</x:f>
      </x:c>
      <x:c r="D28" s="110" t="str">
        <x:f>IF(OR(B28="",C28=""),"",B28-C28)</x:f>
      </x:c>
      <x:c r="E28" s="167" t="str">
        <x:v>Lager is beter</x:v>
      </x:c>
      <x:c r="F28" s="151"/>
      <x:c r="G28" s="151"/>
      <x:c r="H28" s="151"/>
      <x:c r="I28" s="151"/>
      <x:c r="J28" s="151"/>
      <x:c r="K28" s="151"/>
      <x:c r="L28" s="151"/>
      <x:c r="M28" s="151"/>
      <x:c r="N28" s="151"/>
      <x:c r="O28" s="151"/>
      <x:c r="P28" s="151"/>
      <x:c r="Q28" s="151"/>
      <x:c r="R28" s="151"/>
      <x:c r="S28" s="151"/>
    </x:row>
    <x:row r="29" ht="34" customHeight="1">
      <x:c r="A29" s="63" t="str">
        <x:v>Water L / geaccepteerd</x:v>
      </x:c>
      <x:c r="B29" s="110" t="str">
        <x:f>IFERROR(INDEX($M$5:$M$12,MATCH($B$17,$A$5:$A$12,0)),"")</x:f>
      </x:c>
      <x:c r="C29" s="110" t="str">
        <x:f>IFERROR(INDEX($M$5:$M$12,MATCH($B$18,$A$5:$A$12,0)),"")</x:f>
      </x:c>
      <x:c r="D29" s="110" t="str">
        <x:f>IF(OR(B29="",C29=""),"",B29-C29)</x:f>
      </x:c>
      <x:c r="E29" s="167" t="str">
        <x:v>Lager is beter</x:v>
      </x:c>
      <x:c r="F29" s="151"/>
      <x:c r="G29" s="151"/>
      <x:c r="H29" s="151"/>
      <x:c r="I29" s="151"/>
      <x:c r="J29" s="151"/>
      <x:c r="K29" s="151"/>
      <x:c r="L29" s="151"/>
      <x:c r="M29" s="151"/>
      <x:c r="N29" s="151"/>
      <x:c r="O29" s="151"/>
      <x:c r="P29" s="151"/>
      <x:c r="Q29" s="151"/>
      <x:c r="R29" s="151"/>
      <x:c r="S29" s="151"/>
    </x:row>
  </x:sheetData>
  <x:mergeCells>
    <x:mergeCell ref="A1:S1"/>
    <x:mergeCell ref="A2:S2"/>
    <x:mergeCell ref="A15:F15"/>
    <x:mergeCell ref="G15:S15"/>
    <x:mergeCell ref="G24:S27"/>
  </x:mergeCells>
  <x:conditionalFormatting sqref="C5:D12">
    <x:cfRule type="containsText" dxfId="64" priority="1" operator="containsText" text="PASS"/>
    <x:cfRule type="containsText" dxfId="65" priority="2" operator="containsText" text="READY"/>
    <x:cfRule type="containsText" dxfId="66" priority="3" operator="containsText" text="MORE EVIDENCE"/>
    <x:cfRule type="containsText" dxfId="67" priority="4" operator="containsText" text="CONDIT"/>
    <x:cfRule type="containsText" dxfId="68" priority="5" operator="containsText" text="HOLD"/>
    <x:cfRule type="containsText" dxfId="69" priority="6" operator="containsText" text="INCOMPLETE"/>
    <x:cfRule type="containsText" dxfId="70" priority="7" operator="containsText" text="FAIL"/>
    <x:cfRule type="containsText" dxfId="71" priority="8" operator="containsText" text="NOT ELIGIBLE"/>
  </x:conditionalFormatting>
  <x:conditionalFormatting sqref="N5:Q12">
    <x:cfRule type="containsText" dxfId="72" priority="9" operator="containsText" text="PASS"/>
    <x:cfRule type="containsText" dxfId="73" priority="10" operator="containsText" text="READY"/>
    <x:cfRule type="containsText" dxfId="74" priority="11" operator="containsText" text="MORE EVIDENCE"/>
    <x:cfRule type="containsText" dxfId="75" priority="12" operator="containsText" text="CONDIT"/>
    <x:cfRule type="containsText" dxfId="76" priority="13" operator="containsText" text="HOLD"/>
    <x:cfRule type="containsText" dxfId="77" priority="14" operator="containsText" text="INCOMPLETE"/>
    <x:cfRule type="containsText" dxfId="78" priority="15" operator="containsText" text="FAIL"/>
    <x:cfRule type="containsText" dxfId="79" priority="16" operator="containsText" text="NOT ELIGIBLE"/>
  </x:conditionalFormatting>
  <x:dataValidations count="4">
    <x:dataValidation type="list" sqref="P5:P12">
      <x:formula1>"FRONTIER,DOMINATED,UNDETERMINED,NOT ELIGIBLE"</x:formula1>
    </x:dataValidation>
    <x:dataValidation type="list" sqref="Q5:Q12">
      <x:formula1>"PROPORTIONATE,NOT PROPORTIONATE,CONDITIONAL,UNDETERMINED,MULTIPLE PROPORTIONAL OPTIONS"</x:formula1>
    </x:dataValidation>
    <x:dataValidation type="list" sqref="S5:S12">
      <x:formula1>"Ja,Nee"</x:formula1>
    </x:dataValidation>
    <x:dataValidation type="list" sqref="B17:B18">
      <x:formula1>"C01,C02,C03,C04,C05,C06,C07,C08"</x:formula1>
    </x:dataValidation>
  </x:dataValidations>
  <x:pageMargins left="0.7" right="0.7" top="0.75" bottom="0.75" header="0.3" footer="0.3"/>
  <x:legacyDrawing xmlns:r="http://schemas.openxmlformats.org/officeDocument/2006/relationships" r:id="Rd4bbecaf55e24c42"/>
  <x:tableParts count="1">
    <x:tablePart xmlns:r="http://schemas.openxmlformats.org/officeDocument/2006/relationships" r:id="R7b2cf78d951847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16" hidden="0" customWidth="1"/>
    <x:col min="4" max="4" width="24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1" customHeight="1">
      <x:c r="A1" s="149" t="str">
        <x:v>09 · Besluitrecord</x:v>
      </x:c>
      <x:c r="B1" s="149"/>
      <x:c r="C1" s="149"/>
      <x:c r="D1" s="149"/>
      <x:c r="E1" s="149"/>
      <x:c r="F1" s="149"/>
      <x:c r="G1" s="149"/>
      <x:c r="H1" s="149"/>
    </x:row>
    <x:row r="2" ht="31" customHeight="1">
      <x:c r="A2" s="150" t="str">
        <x:v>Een besluit is pas gereed als scope, bewijs, voorwaarden, eigenaarschap en herbeoordeling kloppen.</x:v>
      </x:c>
      <x:c r="B2" s="150"/>
      <x:c r="C2" s="150"/>
      <x:c r="D2" s="150"/>
      <x:c r="E2" s="150"/>
      <x:c r="F2" s="150"/>
      <x:c r="G2" s="150"/>
      <x:c r="H2" s="150"/>
    </x:row>
    <x:row r="3">
      <x:c r="A3" s="151"/>
      <x:c r="B3" s="151"/>
      <x:c r="C3" s="151"/>
      <x:c r="D3" s="151"/>
      <x:c r="E3" s="151"/>
      <x:c r="F3" s="151"/>
      <x:c r="G3" s="151"/>
      <x:c r="H3" s="151"/>
    </x:row>
    <x:row r="4">
      <x:c r="A4" s="158" t="str">
        <x:v>Selectie en gate-status</x:v>
      </x:c>
      <x:c r="B4" s="158"/>
      <x:c r="C4" s="158"/>
      <x:c r="D4" s="158"/>
      <x:c r="E4" s="158"/>
      <x:c r="F4" s="158"/>
      <x:c r="G4" s="158"/>
      <x:c r="H4" s="158"/>
    </x:row>
    <x:row r="5">
      <x:c r="A5" s="151"/>
      <x:c r="B5" s="151"/>
      <x:c r="C5" s="151"/>
      <x:c r="D5" s="151"/>
      <x:c r="E5" s="151"/>
      <x:c r="F5" s="151"/>
      <x:c r="G5" s="151"/>
      <x:c r="H5" s="151"/>
    </x:row>
    <x:row r="6">
      <x:c r="A6" s="63" t="str">
        <x:v>Geselecteerde kandidaat-ID</x:v>
      </x:c>
      <x:c r="B6" s="66"/>
      <x:c r="C6" s="66"/>
      <x:c r="D6" s="66"/>
      <x:c r="E6" s="66"/>
      <x:c r="F6" s="66"/>
      <x:c r="G6" s="66"/>
      <x:c r="H6" s="66"/>
    </x:row>
    <x:row r="7">
      <x:c r="A7" s="63" t="str">
        <x:v>Naam</x:v>
      </x:c>
      <x:c r="B7" s="70" t="str">
        <x:f>IFERROR(INDEX('08_Vergelijking'!$B$5:$B$12,MATCH(B6,'08_Vergelijking'!$A$5:$A$12,0)),"")</x:f>
      </x:c>
      <x:c r="C7" s="70"/>
      <x:c r="D7" s="70"/>
      <x:c r="E7" s="70"/>
      <x:c r="F7" s="70"/>
      <x:c r="G7" s="70"/>
      <x:c r="H7" s="70"/>
    </x:row>
    <x:row r="8">
      <x:c r="A8" s="63" t="str">
        <x:v>Beslisscope</x:v>
      </x:c>
      <x:c r="B8" s="70" t="str">
        <x:f>IF('01_Intake'!$B$16="","",'01_Intake'!$B$16)</x:f>
      </x:c>
      <x:c r="C8" s="70"/>
      <x:c r="D8" s="70"/>
      <x:c r="E8" s="70"/>
      <x:c r="F8" s="70"/>
      <x:c r="G8" s="70"/>
      <x:c r="H8" s="70"/>
    </x:row>
    <x:row r="9">
      <x:c r="A9" s="63" t="str">
        <x:v>Route</x:v>
      </x:c>
      <x:c r="B9" s="70" t="str">
        <x:f>IF('01_Intake'!$B$27&lt;&gt;"",'01_Intake'!$B$27,'01_Intake'!$B$26)</x:f>
        <x:v>VUL ROUTEVRAGEN IN</x:v>
      </x:c>
      <x:c r="C9" s="70"/>
      <x:c r="D9" s="70"/>
      <x:c r="E9" s="70"/>
      <x:c r="F9" s="70"/>
      <x:c r="G9" s="70"/>
      <x:c r="H9" s="70"/>
    </x:row>
    <x:row r="10">
      <x:c r="A10" s="63" t="str">
        <x:v>Poort 1</x:v>
      </x:c>
      <x:c r="B10" s="70" t="str">
        <x:f>IFERROR(INDEX('08_Vergelijking'!$C$5:$C$12,MATCH(B6,'08_Vergelijking'!$A$5:$A$12,0)),"")</x:f>
      </x:c>
      <x:c r="C10" s="70"/>
      <x:c r="D10" s="70"/>
      <x:c r="E10" s="70"/>
      <x:c r="F10" s="70"/>
      <x:c r="G10" s="70"/>
      <x:c r="H10" s="70"/>
    </x:row>
    <x:row r="11">
      <x:c r="A11" s="63" t="str">
        <x:v>Poort 2</x:v>
      </x:c>
      <x:c r="B11" s="70" t="str">
        <x:f>IFERROR(INDEX('08_Vergelijking'!$D$5:$D$12,MATCH(B6,'08_Vergelijking'!$A$5:$A$12,0)),"")</x:f>
      </x:c>
      <x:c r="C11" s="70"/>
      <x:c r="D11" s="70"/>
      <x:c r="E11" s="70"/>
      <x:c r="F11" s="70"/>
      <x:c r="G11" s="70"/>
      <x:c r="H11" s="70"/>
    </x:row>
    <x:row r="12">
      <x:c r="A12" s="63" t="str">
        <x:v>Numeriek bewijs</x:v>
      </x:c>
      <x:c r="B12" s="70" t="str">
        <x:f>IFERROR(INDEX('08_Vergelijking'!$O$5:$O$12,MATCH(B6,'08_Vergelijking'!$A$5:$A$12,0)),"")</x:f>
      </x:c>
      <x:c r="C12" s="70"/>
      <x:c r="D12" s="70"/>
      <x:c r="E12" s="70"/>
      <x:c r="F12" s="70"/>
      <x:c r="G12" s="70"/>
      <x:c r="H12" s="70"/>
    </x:row>
    <x:row r="13">
      <x:c r="A13" s="63" t="str">
        <x:v>Proportionaliteit</x:v>
      </x:c>
      <x:c r="B13" s="70" t="str">
        <x:f>IFERROR(INDEX('08_Vergelijking'!$Q$5:$Q$12,MATCH(B6,'08_Vergelijking'!$A$5:$A$12,0)),"")</x:f>
      </x:c>
      <x:c r="C13" s="70"/>
      <x:c r="D13" s="70"/>
      <x:c r="E13" s="70"/>
      <x:c r="F13" s="70"/>
      <x:c r="G13" s="70"/>
      <x:c r="H13" s="70"/>
    </x:row>
    <x:row r="14">
      <x:c r="A14" s="63" t="str">
        <x:v>Contextbewijs compleet?</x:v>
      </x:c>
      <x:c r="B14" s="70" t="str">
        <x:f>IFERROR(INDEX('08_Vergelijking'!$S$5:$S$12,MATCH(B6,'08_Vergelijking'!$A$5:$A$12,0)),"")</x:f>
      </x:c>
      <x:c r="C14" s="70"/>
      <x:c r="D14" s="70"/>
      <x:c r="E14" s="70"/>
      <x:c r="F14" s="70"/>
      <x:c r="G14" s="70"/>
      <x:c r="H14" s="70"/>
    </x:row>
    <x:row r="15">
      <x:c r="A15" s="151"/>
      <x:c r="B15" s="151"/>
      <x:c r="C15" s="151"/>
      <x:c r="D15" s="151"/>
      <x:c r="E15" s="151"/>
      <x:c r="F15" s="151"/>
      <x:c r="G15" s="151"/>
      <x:c r="H15" s="151"/>
    </x:row>
    <x:row r="16">
      <x:c r="A16" s="158" t="str">
        <x:v>Inhoudelijke motivering</x:v>
      </x:c>
      <x:c r="B16" s="158"/>
      <x:c r="C16" s="158"/>
      <x:c r="D16" s="158"/>
      <x:c r="E16" s="158"/>
      <x:c r="F16" s="158"/>
      <x:c r="G16" s="158"/>
      <x:c r="H16" s="158"/>
    </x:row>
    <x:row r="17">
      <x:c r="A17" s="151"/>
      <x:c r="B17" s="151"/>
      <x:c r="C17" s="151"/>
      <x:c r="D17" s="151"/>
      <x:c r="E17" s="151"/>
      <x:c r="F17" s="151"/>
      <x:c r="G17" s="151"/>
      <x:c r="H17" s="151"/>
    </x:row>
    <x:row r="18" ht="30" customHeight="1">
      <x:c r="A18" s="63" t="str">
        <x:v>Beoogde waarde / aantoonbare voordelen</x:v>
      </x:c>
      <x:c r="B18" s="66"/>
      <x:c r="C18" s="66"/>
      <x:c r="D18" s="66"/>
      <x:c r="E18" s="66"/>
      <x:c r="F18" s="66"/>
      <x:c r="G18" s="66"/>
      <x:c r="H18" s="66"/>
    </x:row>
    <x:row r="19" ht="30" customHeight="1">
      <x:c r="A19" s="63"/>
      <x:c r="B19" s="66"/>
      <x:c r="C19" s="66"/>
      <x:c r="D19" s="66"/>
      <x:c r="E19" s="66"/>
      <x:c r="F19" s="66"/>
      <x:c r="G19" s="66"/>
      <x:c r="H19" s="66"/>
    </x:row>
    <x:row r="20" ht="30" customHeight="1">
      <x:c r="A20" s="151"/>
      <x:c r="B20" s="151"/>
      <x:c r="C20" s="151"/>
      <x:c r="D20" s="151"/>
      <x:c r="E20" s="151"/>
      <x:c r="F20" s="151"/>
      <x:c r="G20" s="151"/>
      <x:c r="H20" s="151"/>
    </x:row>
    <x:row r="21" ht="30" customHeight="1">
      <x:c r="A21" s="63" t="str">
        <x:v>Lasten, risico's en verdeling van effecten</x:v>
      </x:c>
      <x:c r="B21" s="66"/>
      <x:c r="C21" s="66"/>
      <x:c r="D21" s="66"/>
      <x:c r="E21" s="66"/>
      <x:c r="F21" s="66"/>
      <x:c r="G21" s="66"/>
      <x:c r="H21" s="66"/>
    </x:row>
    <x:row r="22" ht="30" customHeight="1">
      <x:c r="A22" s="63"/>
      <x:c r="B22" s="66"/>
      <x:c r="C22" s="66"/>
      <x:c r="D22" s="66"/>
      <x:c r="E22" s="66"/>
      <x:c r="F22" s="66"/>
      <x:c r="G22" s="66"/>
      <x:c r="H22" s="66"/>
    </x:row>
    <x:row r="23" ht="30" customHeight="1">
      <x:c r="A23" s="151"/>
      <x:c r="B23" s="151"/>
      <x:c r="C23" s="151"/>
      <x:c r="D23" s="151"/>
      <x:c r="E23" s="151"/>
      <x:c r="F23" s="151"/>
      <x:c r="G23" s="151"/>
      <x:c r="H23" s="151"/>
    </x:row>
    <x:row r="24" ht="30" customHeight="1">
      <x:c r="A24" s="63" t="str">
        <x:v>Alternatieven, inclusief niet-AI</x:v>
      </x:c>
      <x:c r="B24" s="66"/>
      <x:c r="C24" s="66"/>
      <x:c r="D24" s="66"/>
      <x:c r="E24" s="66"/>
      <x:c r="F24" s="66"/>
      <x:c r="G24" s="66"/>
      <x:c r="H24" s="66"/>
    </x:row>
    <x:row r="25" ht="30" customHeight="1">
      <x:c r="A25" s="63"/>
      <x:c r="B25" s="66"/>
      <x:c r="C25" s="66"/>
      <x:c r="D25" s="66"/>
      <x:c r="E25" s="66"/>
      <x:c r="F25" s="66"/>
      <x:c r="G25" s="66"/>
      <x:c r="H25" s="66"/>
    </x:row>
    <x:row r="26" ht="30" customHeight="1">
      <x:c r="A26" s="151"/>
      <x:c r="B26" s="151"/>
      <x:c r="C26" s="151"/>
      <x:c r="D26" s="151"/>
      <x:c r="E26" s="151"/>
      <x:c r="F26" s="151"/>
      <x:c r="G26" s="151"/>
      <x:c r="H26" s="151"/>
    </x:row>
    <x:row r="27" ht="30" customHeight="1">
      <x:c r="A27" s="63" t="str">
        <x:v>Bewijsbeperkingen en onzekerheden</x:v>
      </x:c>
      <x:c r="B27" s="66"/>
      <x:c r="C27" s="66"/>
      <x:c r="D27" s="66"/>
      <x:c r="E27" s="66"/>
      <x:c r="F27" s="66"/>
      <x:c r="G27" s="66"/>
      <x:c r="H27" s="66"/>
    </x:row>
    <x:row r="28" ht="30" customHeight="1">
      <x:c r="A28" s="63"/>
      <x:c r="B28" s="66"/>
      <x:c r="C28" s="66"/>
      <x:c r="D28" s="66"/>
      <x:c r="E28" s="66"/>
      <x:c r="F28" s="66"/>
      <x:c r="G28" s="66"/>
      <x:c r="H28" s="66"/>
    </x:row>
    <x:row r="29" ht="30" customHeight="1">
      <x:c r="A29" s="151"/>
      <x:c r="B29" s="151"/>
      <x:c r="C29" s="151"/>
      <x:c r="D29" s="151"/>
      <x:c r="E29" s="151"/>
      <x:c r="F29" s="151"/>
      <x:c r="G29" s="151"/>
      <x:c r="H29" s="151"/>
    </x:row>
    <x:row r="30" ht="30" customHeight="1">
      <x:c r="A30" s="63" t="str">
        <x:v>Voorwaarden en begrenzingen</x:v>
      </x:c>
      <x:c r="B30" s="66"/>
      <x:c r="C30" s="66"/>
      <x:c r="D30" s="66"/>
      <x:c r="E30" s="66"/>
      <x:c r="F30" s="66"/>
      <x:c r="G30" s="66"/>
      <x:c r="H30" s="66"/>
    </x:row>
    <x:row r="31" ht="30" customHeight="1">
      <x:c r="A31" s="63"/>
      <x:c r="B31" s="66"/>
      <x:c r="C31" s="66"/>
      <x:c r="D31" s="66"/>
      <x:c r="E31" s="66"/>
      <x:c r="F31" s="66"/>
      <x:c r="G31" s="66"/>
      <x:c r="H31" s="66"/>
    </x:row>
    <x:row r="32" ht="30" customHeight="1">
      <x:c r="A32" s="151"/>
      <x:c r="B32" s="151"/>
      <x:c r="C32" s="151"/>
      <x:c r="D32" s="151"/>
      <x:c r="E32" s="151"/>
      <x:c r="F32" s="151"/>
      <x:c r="G32" s="151"/>
      <x:c r="H32" s="151"/>
    </x:row>
    <x:row r="33" ht="30" customHeight="1">
      <x:c r="A33" s="63" t="str">
        <x:v>Eindmotivering: waarom deze optie en niet een lichtere/zwaardere?</x:v>
      </x:c>
      <x:c r="B33" s="66"/>
      <x:c r="C33" s="66"/>
      <x:c r="D33" s="66"/>
      <x:c r="E33" s="66"/>
      <x:c r="F33" s="66"/>
      <x:c r="G33" s="66"/>
      <x:c r="H33" s="66"/>
    </x:row>
    <x:row r="34" ht="30" customHeight="1">
      <x:c r="A34" s="63"/>
      <x:c r="B34" s="66"/>
      <x:c r="C34" s="66"/>
      <x:c r="D34" s="66"/>
      <x:c r="E34" s="66"/>
      <x:c r="F34" s="66"/>
      <x:c r="G34" s="66"/>
      <x:c r="H34" s="66"/>
    </x:row>
    <x:row r="35" ht="30" customHeight="1">
      <x:c r="A35" s="63"/>
      <x:c r="B35" s="66"/>
      <x:c r="C35" s="66"/>
      <x:c r="D35" s="66"/>
      <x:c r="E35" s="66"/>
      <x:c r="F35" s="66"/>
      <x:c r="G35" s="66"/>
      <x:c r="H35" s="66"/>
    </x:row>
    <x:row r="36">
      <x:c r="A36" s="151"/>
      <x:c r="B36" s="151"/>
      <x:c r="C36" s="151"/>
      <x:c r="D36" s="151"/>
      <x:c r="E36" s="151"/>
      <x:c r="F36" s="151"/>
      <x:c r="G36" s="151"/>
      <x:c r="H36" s="151"/>
    </x:row>
    <x:row r="37">
      <x:c r="A37" s="158" t="str">
        <x:v>Governance en geldigheid</x:v>
      </x:c>
      <x:c r="B37" s="158"/>
      <x:c r="C37" s="158"/>
      <x:c r="D37" s="158"/>
      <x:c r="E37" s="158"/>
      <x:c r="F37" s="158"/>
      <x:c r="G37" s="158"/>
      <x:c r="H37" s="158"/>
    </x:row>
    <x:row r="38">
      <x:c r="A38" s="63" t="str">
        <x:v>Besluiteigenaar</x:v>
      </x:c>
      <x:c r="B38" s="70" t="str">
        <x:f>IF('01_Intake'!$B$13="","",'01_Intake'!$B$13)</x:f>
      </x:c>
      <x:c r="C38" s="151"/>
      <x:c r="D38" s="63" t="str">
        <x:v>Reviewer</x:v>
      </x:c>
      <x:c r="E38" s="66"/>
      <x:c r="F38" s="66"/>
      <x:c r="G38" s="66"/>
      <x:c r="H38" s="66"/>
    </x:row>
    <x:row r="39">
      <x:c r="A39" s="63" t="str">
        <x:v>Besluitdatum</x:v>
      </x:c>
      <x:c r="B39" s="114" t="n">
        <x:f>IF('01_Intake'!$B$15="","",'01_Intake'!$B$15)</x:f>
        <x:v>46269</x:v>
      </x:c>
      <x:c r="C39" s="151"/>
      <x:c r="D39" s="63" t="str">
        <x:v>Geldigheidsduur (dagen)</x:v>
      </x:c>
      <x:c r="E39" s="70" t="n">
        <x:f>IF('01_Intake'!$B$45="","",'01_Intake'!$B$45)</x:f>
        <x:v>180</x:v>
      </x:c>
      <x:c r="F39" s="70"/>
      <x:c r="G39" s="70"/>
      <x:c r="H39" s="70"/>
    </x:row>
    <x:row r="40">
      <x:c r="A40" s="63" t="str">
        <x:v>Volgende reviewdatum</x:v>
      </x:c>
      <x:c r="B40" s="114" t="n">
        <x:f>IF(OR(B39="",E39=""),"",B39+E39)</x:f>
        <x:v>46449</x:v>
      </x:c>
      <x:c r="C40" s="151"/>
      <x:c r="D40" s="151"/>
      <x:c r="E40" s="151"/>
      <x:c r="F40" s="151"/>
      <x:c r="G40" s="151"/>
      <x:c r="H40" s="151"/>
    </x:row>
    <x:row r="41" ht="32" customHeight="1">
      <x:c r="A41" s="63" t="str">
        <x:v>Herbeoordelingstriggers</x:v>
      </x:c>
      <x:c r="B41" s="70" t="str">
        <x:f>IF('01_Intake'!$B$46="","",'01_Intake'!$B$46)</x:f>
        <x:v>Wijziging van model/configuratie, taak, doelgroep, datastroom, wetgeving, incident, prestaties of kosten.</x:v>
      </x:c>
      <x:c r="C41" s="70"/>
      <x:c r="D41" s="70"/>
      <x:c r="E41" s="70"/>
      <x:c r="F41" s="70"/>
      <x:c r="G41" s="70"/>
      <x:c r="H41" s="70"/>
    </x:row>
    <x:row r="42" ht="32" customHeight="1">
      <x:c r="A42" s="151"/>
      <x:c r="B42" s="70"/>
      <x:c r="C42" s="70"/>
      <x:c r="D42" s="70"/>
      <x:c r="E42" s="70"/>
      <x:c r="F42" s="70"/>
      <x:c r="G42" s="70"/>
      <x:c r="H42" s="70"/>
    </x:row>
    <x:row r="43" ht="32" customHeight="1">
      <x:c r="A43" s="151"/>
      <x:c r="B43" s="151"/>
      <x:c r="C43" s="151"/>
      <x:c r="D43" s="151"/>
      <x:c r="E43" s="151"/>
      <x:c r="F43" s="151"/>
      <x:c r="G43" s="151"/>
      <x:c r="H43" s="151"/>
    </x:row>
    <x:row r="44" ht="32" customHeight="1">
      <x:c r="A44" s="63" t="str">
        <x:v>Record compleet?</x:v>
      </x:c>
      <x:c r="B44" s="70" t="str">
        <x:f>IF(AND(B18&lt;&gt;"",B21&lt;&gt;"",B24&lt;&gt;"",B27&lt;&gt;"",B33&lt;&gt;"",B38&lt;&gt;"",B39&lt;&gt;"",B41&lt;&gt;"",IF(OR(B9="R3",B9="R4"),E38&lt;&gt;"",TRUE),IF(OR(B10="CONDITIONAL",AND(B11&lt;&gt;"PASS",B11&lt;&gt;"")),B30&lt;&gt;"",TRUE)),"COMPLETE","INCOMPLETE")</x:f>
        <x:v>INCOMPLETE</x:v>
      </x:c>
      <x:c r="C44" s="70"/>
      <x:c r="D44" s="70"/>
      <x:c r="E44" s="70"/>
      <x:c r="F44" s="70"/>
      <x:c r="G44" s="70"/>
      <x:c r="H44" s="70"/>
    </x:row>
    <x:row r="45" ht="32" customHeight="1">
      <x:c r="A45" s="63" t="str"/>
      <x:c r="B45" s="151"/>
      <x:c r="C45" s="151"/>
      <x:c r="D45" s="151"/>
      <x:c r="E45" s="151"/>
      <x:c r="F45" s="151"/>
      <x:c r="G45" s="151"/>
      <x:c r="H45" s="151"/>
    </x:row>
    <x:row r="46" ht="32" customHeight="1">
      <x:c r="A46" s="63" t="str">
        <x:v>Eindstatus</x:v>
      </x:c>
      <x:c r="B46" s="70" t="str">
        <x:f>IF(B6="","DRAFT",IF(OR(B10="",B11=""),"DRAFT",IF(OR(B10="FAIL",B10="INCOMPLETE",B10="INCOMPLETE EVIDENCE",B10="CONDITION MISSING",B10="RATIONALE MISSING",B11="FAIL",B11="NOT ELIGIBLE",B11="INCOMPLETE DATA",B11="NO TEST DATA"),"HOLD",IF(OR(B8="Verkenning",B8="Gecontroleerde pilot"),IF(B44&lt;&gt;"COMPLETE","DRAFT",IF(B11="PASS","PILOT-READY",IF(B30&lt;&gt;"","PILOT WITH CONDITIONS","DRAFT"))),IF(AND(B10="PASS",B11="PASS",B12="SUFFICIENT FOR REVIEW",OR(B13="PROPORTIONATE",B13="MULTIPLE PROPORTIONAL OPTIONS"),B14="Ja",B44="COMPLETE"),"DECISION-READY","HOLD")))))</x:f>
        <x:v>DRAFT</x:v>
      </x:c>
      <x:c r="C46" s="70"/>
      <x:c r="D46" s="70"/>
      <x:c r="E46" s="70"/>
      <x:c r="F46" s="70"/>
      <x:c r="G46" s="70"/>
      <x:c r="H46" s="70"/>
    </x:row>
    <x:row r="47" ht="32" customHeight="1">
      <x:c r="A47" s="63" t="str">
        <x:v>Uitleg</x:v>
      </x:c>
      <x:c r="B47" s="70" t="str">
        <x:f>IF(B46="DECISION-READY","Alle toepasselijke gates, bewijsvereisten en governancevelden zijn gereed.",IF(B46="PILOT-READY","Gereed voor de begrensde pilot/verkenning — niet voor bredere invoering.",IF(B46="PILOT WITH CONDITIONS","Pilot alleen binnen de vastgelegde voorwaarden en met expliciete onzekerheden.",IF(B46="HOLD","Niet besluiten voordat de blokkerende gate of bewijsvereiste is opgelost.","Vul het besluitrecord en eventuele voorwaarden aan."))))</x:f>
        <x:v>Vul het besluitrecord en eventuele voorwaarden aan.</x:v>
      </x:c>
      <x:c r="C47" s="70"/>
      <x:c r="D47" s="70"/>
      <x:c r="E47" s="70"/>
      <x:c r="F47" s="70"/>
      <x:c r="G47" s="70"/>
      <x:c r="H47" s="70"/>
    </x:row>
    <x:row r="48" ht="32" customHeight="1">
      <x:c r="A48" s="151"/>
      <x:c r="B48" s="70"/>
      <x:c r="C48" s="70"/>
      <x:c r="D48" s="70"/>
      <x:c r="E48" s="70"/>
      <x:c r="F48" s="70"/>
      <x:c r="G48" s="70"/>
      <x:c r="H48" s="70"/>
    </x:row>
  </x:sheetData>
  <x:mergeCells>
    <x:mergeCell ref="A1:H1"/>
    <x:mergeCell ref="A2:H2"/>
    <x:mergeCell ref="A4:H4"/>
    <x:mergeCell ref="A16:H16"/>
    <x:mergeCell ref="A18:A19"/>
    <x:mergeCell ref="B18:H19"/>
    <x:mergeCell ref="A21:A22"/>
    <x:mergeCell ref="B21:H22"/>
    <x:mergeCell ref="A24:A25"/>
    <x:mergeCell ref="B24:H25"/>
    <x:mergeCell ref="A27:A28"/>
    <x:mergeCell ref="B27:H28"/>
    <x:mergeCell ref="A30:A31"/>
    <x:mergeCell ref="B30:H31"/>
    <x:mergeCell ref="A33:A35"/>
    <x:mergeCell ref="B33:H35"/>
    <x:mergeCell ref="A37:H37"/>
    <x:mergeCell ref="B41:H42"/>
    <x:mergeCell ref="B47:H48"/>
  </x:mergeCells>
  <x:conditionalFormatting sqref="B10:B14">
    <x:cfRule type="containsText" dxfId="80" priority="1" operator="containsText" text="PASS"/>
    <x:cfRule type="containsText" dxfId="81" priority="2" operator="containsText" text="READY"/>
    <x:cfRule type="containsText" dxfId="82" priority="3" operator="containsText" text="MORE EVIDENCE"/>
    <x:cfRule type="containsText" dxfId="83" priority="4" operator="containsText" text="CONDIT"/>
    <x:cfRule type="containsText" dxfId="84" priority="5" operator="containsText" text="HOLD"/>
    <x:cfRule type="containsText" dxfId="85" priority="6" operator="containsText" text="INCOMPLETE"/>
    <x:cfRule type="containsText" dxfId="86" priority="7" operator="containsText" text="FAIL"/>
    <x:cfRule type="containsText" dxfId="87" priority="8" operator="containsText" text="NOT ELIGIBLE"/>
  </x:conditionalFormatting>
  <x:conditionalFormatting sqref="B44:B46">
    <x:cfRule type="containsText" dxfId="88" priority="9" operator="containsText" text="PASS"/>
    <x:cfRule type="containsText" dxfId="89" priority="10" operator="containsText" text="READY"/>
    <x:cfRule type="containsText" dxfId="90" priority="11" operator="containsText" text="MORE EVIDENCE"/>
    <x:cfRule type="containsText" dxfId="91" priority="12" operator="containsText" text="CONDIT"/>
    <x:cfRule type="containsText" dxfId="92" priority="13" operator="containsText" text="HOLD"/>
    <x:cfRule type="containsText" dxfId="93" priority="14" operator="containsText" text="INCOMPLETE"/>
    <x:cfRule type="containsText" dxfId="94" priority="15" operator="containsText" text="FAIL"/>
    <x:cfRule type="containsText" dxfId="95" priority="16" operator="containsText" text="NOT ELIGIBLE"/>
  </x:conditionalFormatting>
  <x:dataValidations count="2">
    <x:dataValidation type="list" sqref="B6">
      <x:formula1>"C01,C02,C03,C04,C05,C06,C07,C08"</x:formula1>
    </x:dataValidation>
    <x:dataValidation type="list" sqref="B8">
      <x:formula1>"Verkenning,Gecontroleerde pilot,Gedeeltelijke proportionaliteitsafweging,Volledige proportionaliteitsafweging"</x:formula1>
    </x:dataValidation>
  </x:dataValidations>
  <x:pageMargins left="0.7" right="0.7" top="0.75" bottom="0.75" header="0.3" footer="0.3"/>
  <x:legacyDrawing xmlns:r="http://schemas.openxmlformats.org/officeDocument/2006/relationships" r:id="Rfedb9ce4cf184a5e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16" hidden="0" customWidth="1"/>
    <x:col min="4" max="4" width="16" hidden="0" customWidth="1"/>
    <x:col min="5" max="5" width="17" hidden="0" customWidth="1"/>
    <x:col min="6" max="6" width="16" hidden="0" customWidth="1"/>
    <x:col min="7" max="7" width="40" hidden="0" customWidth="1"/>
    <x:col min="8" max="8" width="20" hidden="0" customWidth="1"/>
  </x:cols>
  <x:sheetData>
    <x:row r="1" ht="31" customHeight="1">
      <x:c r="A1" s="149" t="str">
        <x:v>10 · Validatie en kwaliteitscontrole</x:v>
      </x:c>
      <x:c r="B1" s="149"/>
      <x:c r="C1" s="149"/>
      <x:c r="D1" s="149"/>
      <x:c r="E1" s="149"/>
      <x:c r="F1" s="149"/>
      <x:c r="G1" s="149"/>
      <x:c r="H1" s="149"/>
    </x:row>
    <x:row r="2" ht="31" customHeight="1">
      <x:c r="A2" s="150" t="str">
        <x:v>Gebruik deze lijst per casus én voor de externe validatie van de methodiek.</x:v>
      </x:c>
      <x:c r="B2" s="150"/>
      <x:c r="C2" s="150"/>
      <x:c r="D2" s="150"/>
      <x:c r="E2" s="150"/>
      <x:c r="F2" s="150"/>
      <x:c r="G2" s="150"/>
      <x:c r="H2" s="150"/>
    </x:row>
    <x:row r="3">
      <x:c r="A3" s="151"/>
      <x:c r="B3" s="151"/>
      <x:c r="C3" s="151"/>
      <x:c r="D3" s="151"/>
      <x:c r="E3" s="151"/>
      <x:c r="F3" s="151"/>
      <x:c r="G3" s="151"/>
      <x:c r="H3" s="151"/>
    </x:row>
    <x:row r="4" ht="36" customHeight="1">
      <x:c r="A4" s="159" t="str">
        <x:v>Controle</x:v>
      </x:c>
      <x:c r="B4" s="159" t="str">
        <x:v>R1</x:v>
      </x:c>
      <x:c r="C4" s="159" t="str">
        <x:v>R2</x:v>
      </x:c>
      <x:c r="D4" s="159" t="str">
        <x:v>R3</x:v>
      </x:c>
      <x:c r="E4" s="159" t="str">
        <x:v>R4</x:v>
      </x:c>
      <x:c r="F4" s="159" t="str">
        <x:v>Gereed?</x:v>
      </x:c>
      <x:c r="G4" s="159" t="str">
        <x:v>Bewijs / notitie</x:v>
      </x:c>
      <x:c r="H4" s="159" t="str">
        <x:v>Eigenaar</x:v>
      </x:c>
    </x:row>
    <x:row r="5" ht="36" customHeight="1">
      <x:c r="A5" s="63" t="str">
        <x:v>Doel, taak, baseline en beslisscope expliciet</x:v>
      </x:c>
      <x:c r="B5" s="63" t="str">
        <x:v>V</x:v>
      </x:c>
      <x:c r="C5" s="63" t="str">
        <x:v>V</x:v>
      </x:c>
      <x:c r="D5" s="63" t="str">
        <x:v>V</x:v>
      </x:c>
      <x:c r="E5" s="63" t="str">
        <x:v>V</x:v>
      </x:c>
      <x:c r="F5" s="66" t="str"/>
      <x:c r="G5" s="66" t="str"/>
      <x:c r="H5" s="66" t="str"/>
    </x:row>
    <x:row r="6" ht="36" customHeight="1">
      <x:c r="A6" s="63" t="str">
        <x:v>Routevragen ingevuld; afwijking gemotiveerd</x:v>
      </x:c>
      <x:c r="B6" s="63" t="str">
        <x:v>V</x:v>
      </x:c>
      <x:c r="C6" s="63" t="str">
        <x:v>V</x:v>
      </x:c>
      <x:c r="D6" s="63" t="str">
        <x:v>V</x:v>
      </x:c>
      <x:c r="E6" s="63" t="str">
        <x:v>V</x:v>
      </x:c>
      <x:c r="F6" s="66" t="str"/>
      <x:c r="G6" s="66" t="str"/>
      <x:c r="H6" s="66" t="str"/>
    </x:row>
    <x:row r="7" ht="36" customHeight="1">
      <x:c r="A7" s="63" t="str">
        <x:v>Concrete kandidaten/configuraties reproduceerbaar</x:v>
      </x:c>
      <x:c r="B7" s="63" t="str">
        <x:v>V</x:v>
      </x:c>
      <x:c r="C7" s="63" t="str">
        <x:v>V</x:v>
      </x:c>
      <x:c r="D7" s="63" t="str">
        <x:v>V</x:v>
      </x:c>
      <x:c r="E7" s="63" t="str">
        <x:v>V</x:v>
      </x:c>
      <x:c r="F7" s="66" t="str"/>
      <x:c r="G7" s="66" t="str"/>
      <x:c r="H7" s="66" t="str"/>
    </x:row>
    <x:row r="8" ht="36" customHeight="1">
      <x:c r="A8" s="63" t="str">
        <x:v>Poort 1 volledig en met passend bewijs</x:v>
      </x:c>
      <x:c r="B8" s="63" t="str">
        <x:v>V</x:v>
      </x:c>
      <x:c r="C8" s="63" t="str">
        <x:v>V</x:v>
      </x:c>
      <x:c r="D8" s="63" t="str">
        <x:v>V</x:v>
      </x:c>
      <x:c r="E8" s="63" t="str">
        <x:v>V</x:v>
      </x:c>
      <x:c r="F8" s="66" t="str"/>
      <x:c r="G8" s="66" t="str"/>
      <x:c r="H8" s="66" t="str"/>
    </x:row>
    <x:row r="9" ht="36" customHeight="1">
      <x:c r="A9" s="63" t="str">
        <x:v>Acceptatie en critical errors vooraf gedefinieerd</x:v>
      </x:c>
      <x:c r="B9" s="63" t="str">
        <x:v>V</x:v>
      </x:c>
      <x:c r="C9" s="63" t="str">
        <x:v>V</x:v>
      </x:c>
      <x:c r="D9" s="63" t="str">
        <x:v>V</x:v>
      </x:c>
      <x:c r="E9" s="63" t="str">
        <x:v>V</x:v>
      </x:c>
      <x:c r="F9" s="66" t="str"/>
      <x:c r="G9" s="66" t="str"/>
      <x:c r="H9" s="66" t="str"/>
    </x:row>
    <x:row r="10" ht="36" customHeight="1">
      <x:c r="A10" s="63" t="str">
        <x:v>Eén rij per kandidaat × testcase; retries geaggregeerd</x:v>
      </x:c>
      <x:c r="B10" s="63" t="str">
        <x:v>V</x:v>
      </x:c>
      <x:c r="C10" s="63" t="str">
        <x:v>V</x:v>
      </x:c>
      <x:c r="D10" s="63" t="str">
        <x:v>V</x:v>
      </x:c>
      <x:c r="E10" s="63" t="str">
        <x:v>V</x:v>
      </x:c>
      <x:c r="F10" s="66" t="str"/>
      <x:c r="G10" s="66" t="str"/>
      <x:c r="H10" s="66" t="str"/>
    </x:row>
    <x:row r="11" ht="36" customHeight="1">
      <x:c r="A11" s="63" t="str">
        <x:v>Dekking representatief voor beoogd gebruik</x:v>
      </x:c>
      <x:c r="B11" s="63" t="str">
        <x:v>Basis</x:v>
      </x:c>
      <x:c r="C11" s="63" t="str">
        <x:v>V</x:v>
      </x:c>
      <x:c r="D11" s="63" t="str">
        <x:v>V</x:v>
      </x:c>
      <x:c r="E11" s="63" t="str">
        <x:v>V</x:v>
      </x:c>
      <x:c r="F11" s="66" t="str"/>
      <x:c r="G11" s="66" t="str"/>
      <x:c r="H11" s="66" t="str"/>
    </x:row>
    <x:row r="12" ht="36" customHeight="1">
      <x:c r="A12" s="63" t="str">
        <x:v>Bewijsbodem/Wilson-status correct geïnterpreteerd</x:v>
      </x:c>
      <x:c r="B12" s="63" t="str">
        <x:v>V</x:v>
      </x:c>
      <x:c r="C12" s="63" t="str">
        <x:v>V</x:v>
      </x:c>
      <x:c r="D12" s="63" t="str">
        <x:v>V</x:v>
      </x:c>
      <x:c r="E12" s="63" t="str">
        <x:v>V</x:v>
      </x:c>
      <x:c r="F12" s="66" t="str"/>
      <x:c r="G12" s="66" t="str"/>
      <x:c r="H12" s="66" t="str"/>
    </x:row>
    <x:row r="13" ht="36" customHeight="1">
      <x:c r="A13" s="63" t="str">
        <x:v>Besliskritieke lasten compleet; onbekend niet als nul</x:v>
      </x:c>
      <x:c r="B13" s="63" t="str">
        <x:v>Beperkingen</x:v>
      </x:c>
      <x:c r="C13" s="63" t="str">
        <x:v>V</x:v>
      </x:c>
      <x:c r="D13" s="63" t="str">
        <x:v>V</x:v>
      </x:c>
      <x:c r="E13" s="63" t="str">
        <x:v>V</x:v>
      </x:c>
      <x:c r="F13" s="66" t="str"/>
      <x:c r="G13" s="66" t="str"/>
      <x:c r="H13" s="66" t="str"/>
    </x:row>
    <x:row r="14" ht="36" customHeight="1">
      <x:c r="A14" s="63" t="str">
        <x:v>Baseline en relevante alternatieven pairwise vergeleken</x:v>
      </x:c>
      <x:c r="B14" s="63" t="str">
        <x:v>Basis</x:v>
      </x:c>
      <x:c r="C14" s="63" t="str">
        <x:v>V</x:v>
      </x:c>
      <x:c r="D14" s="63" t="str">
        <x:v>V</x:v>
      </x:c>
      <x:c r="E14" s="63" t="str">
        <x:v>V</x:v>
      </x:c>
      <x:c r="F14" s="66" t="str"/>
      <x:c r="G14" s="66" t="str"/>
      <x:c r="H14" s="66" t="str"/>
    </x:row>
    <x:row r="15" ht="36" customHeight="1">
      <x:c r="A15" s="63" t="str">
        <x:v>Context: autonomie, exit, correctie en inclusie</x:v>
      </x:c>
      <x:c r="B15" s="63" t="str">
        <x:v>Beperkingen</x:v>
      </x:c>
      <x:c r="C15" s="63" t="str">
        <x:v>V</x:v>
      </x:c>
      <x:c r="D15" s="63" t="str">
        <x:v>V</x:v>
      </x:c>
      <x:c r="E15" s="63" t="str">
        <x:v>V</x:v>
      </x:c>
      <x:c r="F15" s="66" t="str"/>
      <x:c r="G15" s="66" t="str"/>
      <x:c r="H15" s="66" t="str"/>
    </x:row>
    <x:row r="16" ht="36" customHeight="1">
      <x:c r="A16" s="63" t="str">
        <x:v>Besluitrecord, eigenaar en herbeoordeling compleet</x:v>
      </x:c>
      <x:c r="B16" s="63" t="str">
        <x:v>V</x:v>
      </x:c>
      <x:c r="C16" s="63" t="str">
        <x:v>V</x:v>
      </x:c>
      <x:c r="D16" s="63" t="str">
        <x:v>V</x:v>
      </x:c>
      <x:c r="E16" s="63" t="str">
        <x:v>V</x:v>
      </x:c>
      <x:c r="F16" s="66" t="str"/>
      <x:c r="G16" s="66" t="str"/>
      <x:c r="H16" s="66" t="str"/>
    </x:row>
    <x:row r="17" ht="36" customHeight="1">
      <x:c r="A17" s="63" t="str">
        <x:v>Onafhankelijke reviewer</x:v>
      </x:c>
      <x:c r="B17" s="63" t="str">
        <x:v>—</x:v>
      </x:c>
      <x:c r="C17" s="63" t="str">
        <x:v>Aanbev.</x:v>
      </x:c>
      <x:c r="D17" s="63" t="str">
        <x:v>V</x:v>
      </x:c>
      <x:c r="E17" s="63" t="str">
        <x:v>V</x:v>
      </x:c>
      <x:c r="F17" s="66" t="str"/>
      <x:c r="G17" s="66" t="str"/>
      <x:c r="H17" s="66" t="str"/>
    </x:row>
    <x:row r="18" ht="36" customHeight="1">
      <x:c r="A18" s="63" t="str">
        <x:v>Aanvullende formele toets buiten PAM-AI</x:v>
      </x:c>
      <x:c r="B18" s="63" t="str">
        <x:v>—</x:v>
      </x:c>
      <x:c r="C18" s="63" t="str">
        <x:v>Zo nodig</x:v>
      </x:c>
      <x:c r="D18" s="63" t="str">
        <x:v>Zo nodig</x:v>
      </x:c>
      <x:c r="E18" s="63" t="str">
        <x:v>V</x:v>
      </x:c>
      <x:c r="F18" s="66" t="str"/>
      <x:c r="G18" s="66" t="str"/>
      <x:c r="H18" s="66" t="str"/>
    </x:row>
    <x:row r="19" ht="36" customHeight="1">
      <x:c r="A19" s="63" t="str">
        <x:v>Gebruikservaring vastgelegd voor PAM-AI-validatie</x:v>
      </x:c>
      <x:c r="B19" s="63" t="str">
        <x:v>V</x:v>
      </x:c>
      <x:c r="C19" s="63" t="str">
        <x:v>V</x:v>
      </x:c>
      <x:c r="D19" s="63" t="str">
        <x:v>V</x:v>
      </x:c>
      <x:c r="E19" s="63" t="str">
        <x:v>V</x:v>
      </x:c>
      <x:c r="F19" s="66" t="str"/>
      <x:c r="G19" s="66" t="str"/>
      <x:c r="H19" s="66" t="str"/>
    </x:row>
    <x:row r="20">
      <x:c r="A20" s="151"/>
      <x:c r="B20" s="151"/>
      <x:c r="C20" s="151"/>
      <x:c r="D20" s="151"/>
      <x:c r="E20" s="151"/>
      <x:c r="F20" s="151"/>
      <x:c r="G20" s="151"/>
      <x:c r="H20" s="151"/>
    </x:row>
    <x:row r="21">
      <x:c r="A21" s="151"/>
      <x:c r="B21" s="151"/>
      <x:c r="C21" s="151"/>
      <x:c r="D21" s="151"/>
      <x:c r="E21" s="151"/>
      <x:c r="F21" s="151"/>
      <x:c r="G21" s="151"/>
      <x:c r="H21" s="151"/>
    </x:row>
    <x:row r="22">
      <x:c r="A22" s="158" t="str">
        <x:v>Minimale rekentests voor validatie</x:v>
      </x:c>
      <x:c r="B22" s="158"/>
      <x:c r="C22" s="158"/>
      <x:c r="D22" s="158"/>
      <x:c r="E22" s="158"/>
      <x:c r="F22" s="158"/>
      <x:c r="G22" s="158"/>
      <x:c r="H22" s="158"/>
    </x:row>
    <x:row r="23">
      <x:c r="A23" s="151"/>
      <x:c r="B23" s="151"/>
      <x:c r="C23" s="151"/>
      <x:c r="D23" s="151"/>
      <x:c r="E23" s="151"/>
      <x:c r="F23" s="151"/>
      <x:c r="G23" s="151"/>
      <x:c r="H23" s="151"/>
    </x:row>
    <x:row r="24" ht="45" customHeight="1">
      <x:c r="A24" s="159" t="str">
        <x:v>Scenario</x:v>
      </x:c>
      <x:c r="B24" s="159" t="str">
        <x:v>Input</x:v>
      </x:c>
      <x:c r="C24" s="159" t="str">
        <x:v>Verwachte status</x:v>
      </x:c>
      <x:c r="D24" s="159" t="str">
        <x:v>Waarom</x:v>
      </x:c>
      <x:c r="E24" s="159" t="str">
        <x:v>Testresultaat v1.1</x:v>
      </x:c>
      <x:c r="F24" s="151"/>
      <x:c r="G24" s="151"/>
      <x:c r="H24" s="151"/>
    </x:row>
    <x:row r="25" ht="45" customHeight="1">
      <x:c r="A25" s="36" t="str">
        <x:v>Perfect maar klein</x:v>
      </x:c>
      <x:c r="B25" s="36" t="str">
        <x:v>30/30 succes, 0 critical errors, defaults</x:v>
      </x:c>
      <x:c r="C25" s="36" t="str">
        <x:v>MORE EVIDENCE</x:v>
      </x:c>
      <x:c r="D25" s="36" t="str">
        <x:v>Wilson-bovengrens critical error blijft boven 2%</x:v>
      </x:c>
      <x:c r="E25" s="66" t="str">
        <x:v>PASS</x:v>
      </x:c>
      <x:c r="F25" s="151"/>
      <x:c r="G25" s="151"/>
      <x:c r="H25" s="151"/>
    </x:row>
    <x:row r="26" ht="45" customHeight="1">
      <x:c r="A26" s="36" t="str">
        <x:v>Voldoende perfect</x:v>
      </x:c>
      <x:c r="B26" s="36" t="str">
        <x:v>189/189 succes, 0 critical errors, dekking/rubric Ja</x:v>
      </x:c>
      <x:c r="C26" s="36" t="str">
        <x:v>PASS</x:v>
      </x:c>
      <x:c r="D26" s="36" t="str">
        <x:v>Standaard bewijsbodem en grenzen gehaald</x:v>
      </x:c>
      <x:c r="E26" s="66" t="str">
        <x:v>PASS</x:v>
      </x:c>
      <x:c r="F26" s="151"/>
      <x:c r="G26" s="151"/>
      <x:c r="H26" s="151"/>
    </x:row>
    <x:row r="27" ht="45" customHeight="1">
      <x:c r="A27" s="36" t="str">
        <x:v>Werkelijk onder norm</x:v>
      </x:c>
      <x:c r="B27" s="36" t="str">
        <x:v>Waargenomen succes &lt; 90%</x:v>
      </x:c>
      <x:c r="C27" s="36" t="str">
        <x:v>FAIL</x:v>
      </x:c>
      <x:c r="D27" s="36" t="str">
        <x:v>Puntschatting haalt taaknorm niet</x:v>
      </x:c>
      <x:c r="E27" s="66" t="str">
        <x:v>PASS</x:v>
      </x:c>
      <x:c r="F27" s="151"/>
      <x:c r="G27" s="151"/>
      <x:c r="H27" s="151"/>
    </x:row>
    <x:row r="28" ht="45" customHeight="1">
      <x:c r="A28" s="36" t="str">
        <x:v>Ontbrekende last</x:v>
      </x:c>
      <x:c r="B28" s="36" t="str">
        <x:v>Kosten besliskritiek; één kostenveld leeg</x:v>
      </x:c>
      <x:c r="C28" s="36" t="str">
        <x:v>INSUFFICIENT EVIDENCE</x:v>
      </x:c>
      <x:c r="D28" s="36" t="str">
        <x:v>Onbekend wordt niet als nul behandeld</x:v>
      </x:c>
      <x:c r="E28" s="66" t="str">
        <x:v>PASS</x:v>
      </x:c>
      <x:c r="F28" s="151"/>
      <x:c r="G28" s="151"/>
      <x:c r="H28" s="151"/>
    </x:row>
    <x:row r="29" ht="45" customHeight="1">
      <x:c r="A29" s="36" t="str">
        <x:v>Begrensde pilot</x:v>
      </x:c>
      <x:c r="B29" s="36" t="str">
        <x:v>Poort 1 toelaatbaar; MORE EVIDENCE; voorwaarden compleet</x:v>
      </x:c>
      <x:c r="C29" s="36" t="str">
        <x:v>PILOT WITH CONDITIONS</x:v>
      </x:c>
      <x:c r="D29" s="36" t="str">
        <x:v>Leren mag, bredere invoering nog niet</x:v>
      </x:c>
      <x:c r="E29" s="66" t="str">
        <x:v>PASS</x:v>
      </x:c>
      <x:c r="F29" s="151"/>
      <x:c r="G29" s="151"/>
      <x:c r="H29" s="151"/>
    </x:row>
    <x:row r="30">
      <x:c r="A30" s="151"/>
      <x:c r="B30" s="151"/>
      <x:c r="C30" s="151"/>
      <x:c r="D30" s="151"/>
      <x:c r="E30" s="151"/>
      <x:c r="F30" s="151"/>
      <x:c r="G30" s="151"/>
      <x:c r="H30" s="151"/>
    </x:row>
    <x:row r="31">
      <x:c r="A31" s="151"/>
      <x:c r="B31" s="151"/>
      <x:c r="C31" s="151"/>
      <x:c r="D31" s="151"/>
      <x:c r="E31" s="151"/>
      <x:c r="F31" s="151"/>
      <x:c r="G31" s="151"/>
      <x:c r="H31" s="151"/>
    </x:row>
    <x:row r="32">
      <x:c r="A32" s="158" t="str">
        <x:v>Validatieprotocol v1.1</x:v>
      </x:c>
      <x:c r="B32" s="158"/>
      <x:c r="C32" s="158"/>
      <x:c r="D32" s="158"/>
      <x:c r="E32" s="158"/>
      <x:c r="F32" s="158"/>
      <x:c r="G32" s="158"/>
      <x:c r="H32" s="158"/>
    </x:row>
    <x:row r="33">
      <x:c r="A33" s="151"/>
      <x:c r="B33" s="151"/>
      <x:c r="C33" s="151"/>
      <x:c r="D33" s="151"/>
      <x:c r="E33" s="151"/>
      <x:c r="F33" s="151"/>
      <x:c r="G33" s="151"/>
      <x:c r="H33" s="151"/>
    </x:row>
    <x:row r="34" ht="48" customHeight="1">
      <x:c r="A34" s="38" t="str">
        <x:v>1. Begripsvaliditeit</x:v>
      </x:c>
      <x:c r="B34" s="121" t="str">
        <x:v>Beoordeel met juristen, inhoudsdeskundigen, data/AI, privacy/security en eindgebruikers of constructen en begrippen passen.</x:v>
      </x:c>
      <x:c r="C34" s="121" t="str"/>
      <x:c r="D34" s="121" t="str"/>
      <x:c r="E34" s="121" t="str"/>
      <x:c r="F34" s="121" t="str"/>
      <x:c r="G34" s="121" t="str"/>
      <x:c r="H34" s="121" t="str"/>
    </x:row>
    <x:row r="35" ht="48" customHeight="1">
      <x:c r="A35" s="38" t="str">
        <x:v>2. Betrouwbaarheid</x:v>
      </x:c>
      <x:c r="B35" s="121" t="str">
        <x:v>Laat minimaal twee beoordelaars dezelfde casussen invullen; vergelijk Poort 1, dekking, proportionaliteit en besluitstatus.</x:v>
      </x:c>
      <x:c r="C35" s="121" t="str"/>
      <x:c r="D35" s="121" t="str"/>
      <x:c r="E35" s="121" t="str"/>
      <x:c r="F35" s="121" t="str"/>
      <x:c r="G35" s="121" t="str"/>
      <x:c r="H35" s="121" t="str"/>
    </x:row>
    <x:row r="36" ht="48" customHeight="1">
      <x:c r="A36" s="38" t="str">
        <x:v>3. Criteriumvaliditeit</x:v>
      </x:c>
      <x:c r="B36" s="121" t="str">
        <x:v>Vergelijk uitkomsten met bestaande besluitvorming, incidenten, expertpanels en feitelijke prestaties — zonder deze automatisch als gouden standaard te behandelen.</x:v>
      </x:c>
      <x:c r="C36" s="121" t="str"/>
      <x:c r="D36" s="121" t="str"/>
      <x:c r="E36" s="121" t="str"/>
      <x:c r="F36" s="121" t="str"/>
      <x:c r="G36" s="121" t="str"/>
      <x:c r="H36" s="121" t="str"/>
    </x:row>
    <x:row r="37" ht="48" customHeight="1">
      <x:c r="A37" s="38" t="str">
        <x:v>4. Bruikbaarheid</x:v>
      </x:c>
      <x:c r="B37" s="121" t="str">
        <x:v>Meet voorbereidingstijd, uitval, onbegrepen velden, herstelwerk en ervaren besliswaarde per route.</x:v>
      </x:c>
      <x:c r="C37" s="121" t="str"/>
      <x:c r="D37" s="121" t="str"/>
      <x:c r="E37" s="121" t="str"/>
      <x:c r="F37" s="121" t="str"/>
      <x:c r="G37" s="121" t="str"/>
      <x:c r="H37" s="121" t="str"/>
    </x:row>
    <x:row r="38" ht="48" customHeight="1">
      <x:c r="A38" s="38" t="str">
        <x:v>5. Anti-gaming</x:v>
      </x:c>
      <x:c r="B38" s="121" t="str">
        <x:v>Test of optimistische grenzen, weggelaten retries, lege velden of configuratiewissels een onterecht gunstige uitkomst kunnen geven.</x:v>
      </x:c>
      <x:c r="C38" s="121" t="str"/>
      <x:c r="D38" s="121" t="str"/>
      <x:c r="E38" s="121" t="str"/>
      <x:c r="F38" s="121" t="str"/>
      <x:c r="G38" s="121" t="str"/>
      <x:c r="H38" s="121" t="str"/>
    </x:row>
    <x:row r="39" ht="48" customHeight="1">
      <x:c r="A39" s="38" t="str">
        <x:v>6. Externe validatie</x:v>
      </x:c>
      <x:c r="B39" s="121" t="str">
        <x:v>Publiceer versies, wijzigingen, testcasussen, beperkingen en feedback; laat onafhankelijke partijen herhalen.</x:v>
      </x:c>
      <x:c r="C39" s="121" t="str"/>
      <x:c r="D39" s="121" t="str"/>
      <x:c r="E39" s="121" t="str"/>
      <x:c r="F39" s="121" t="str"/>
      <x:c r="G39" s="121" t="str"/>
      <x:c r="H39" s="121" t="str"/>
    </x:row>
    <x:row r="40" ht="48" customHeight="1">
      <x:c r="A40" s="38" t="str">
        <x:v>Status</x:v>
      </x:c>
      <x:c r="B40" s="122" t="str">
        <x:v>Research-grade validatiekandidaat; ontworpen voor empirische en onafhankelijke validatie, nog geen gevestigde gevalideerde standaard.</x:v>
      </x:c>
      <x:c r="C40" s="122" t="str"/>
      <x:c r="D40" s="122" t="str"/>
      <x:c r="E40" s="122" t="str"/>
      <x:c r="F40" s="122" t="str"/>
      <x:c r="G40" s="122" t="str"/>
      <x:c r="H40" s="122" t="str"/>
    </x:row>
    <x:row r="41">
      <x:c r="A41" s="151"/>
      <x:c r="B41" s="151"/>
      <x:c r="C41" s="151"/>
      <x:c r="D41" s="151"/>
      <x:c r="E41" s="151"/>
      <x:c r="F41" s="151"/>
      <x:c r="G41" s="151"/>
      <x:c r="H41" s="151"/>
    </x:row>
    <x:row r="42">
      <x:c r="A42" s="151"/>
      <x:c r="B42" s="151"/>
      <x:c r="C42" s="151"/>
      <x:c r="D42" s="151"/>
      <x:c r="E42" s="151"/>
      <x:c r="F42" s="151"/>
      <x:c r="G42" s="151"/>
      <x:c r="H42" s="151"/>
    </x:row>
    <x:row r="43">
      <x:c r="A43" s="158" t="str">
        <x:v>Wat veranderde in v1.1</x:v>
      </x:c>
      <x:c r="B43" s="158"/>
      <x:c r="C43" s="158"/>
      <x:c r="D43" s="158"/>
      <x:c r="E43" s="158"/>
      <x:c r="F43" s="158"/>
      <x:c r="G43" s="158"/>
      <x:c r="H43" s="158"/>
    </x:row>
    <x:row r="44">
      <x:c r="A44" s="151"/>
      <x:c r="B44" s="151"/>
      <x:c r="C44" s="151"/>
      <x:c r="D44" s="151"/>
      <x:c r="E44" s="151"/>
      <x:c r="F44" s="151"/>
      <x:c r="G44" s="151"/>
      <x:c r="H44" s="151"/>
    </x:row>
    <x:row r="45">
      <x:c r="A45" s="140" t="str">
        <x:v>• 11 werkbladen in plaats van 17, met routegestuurde bewijslast.
• R1 voor begrensde verkenning/pilot; R2–R4 voor zwaardere besluiten.
• Eén rij per kandidaat × testcase; retries, kosten en herstel worden geaggregeerd.
• FAIL is gescheiden van MORE EVIDENCE.
• Dynamische bewijsbodem op basis van drempels en Wilson-onzekerheid.
• Ontbrekende kritieke data blokkeren bewijsstatus; onbekend is niet nul.
• Contextuele proportionaliteit omvat autonomie/exit, corrigeerbaarheid, inclusie en implementatielast.
• Besluitgereedheid controleert scope, bewijs, motivering, eigenaarschap en herbeoordeling.</x:v>
      </x:c>
      <x:c r="B45" s="141"/>
      <x:c r="C45" s="141"/>
      <x:c r="D45" s="141"/>
      <x:c r="E45" s="141"/>
      <x:c r="F45" s="141"/>
      <x:c r="G45" s="141"/>
      <x:c r="H45" s="142"/>
    </x:row>
    <x:row r="46">
      <x:c r="A46" s="143"/>
      <x:c r="B46" s="144"/>
      <x:c r="C46" s="144"/>
      <x:c r="D46" s="144"/>
      <x:c r="E46" s="144"/>
      <x:c r="F46" s="144"/>
      <x:c r="G46" s="144"/>
      <x:c r="H46" s="145"/>
    </x:row>
    <x:row r="47">
      <x:c r="A47" s="143"/>
      <x:c r="B47" s="144"/>
      <x:c r="C47" s="144"/>
      <x:c r="D47" s="144"/>
      <x:c r="E47" s="144"/>
      <x:c r="F47" s="144"/>
      <x:c r="G47" s="144"/>
      <x:c r="H47" s="145"/>
    </x:row>
    <x:row r="48">
      <x:c r="A48" s="143"/>
      <x:c r="B48" s="144"/>
      <x:c r="C48" s="144"/>
      <x:c r="D48" s="144"/>
      <x:c r="E48" s="144"/>
      <x:c r="F48" s="144"/>
      <x:c r="G48" s="144"/>
      <x:c r="H48" s="145"/>
    </x:row>
    <x:row r="49">
      <x:c r="A49" s="143"/>
      <x:c r="B49" s="144"/>
      <x:c r="C49" s="144"/>
      <x:c r="D49" s="144"/>
      <x:c r="E49" s="144"/>
      <x:c r="F49" s="144"/>
      <x:c r="G49" s="144"/>
      <x:c r="H49" s="145"/>
    </x:row>
    <x:row r="50">
      <x:c r="A50" s="146"/>
      <x:c r="B50" s="147"/>
      <x:c r="C50" s="147"/>
      <x:c r="D50" s="147"/>
      <x:c r="E50" s="147"/>
      <x:c r="F50" s="147"/>
      <x:c r="G50" s="147"/>
      <x:c r="H50" s="148"/>
    </x:row>
  </x:sheetData>
  <x:mergeCells>
    <x:mergeCell ref="A1:H1"/>
    <x:mergeCell ref="A2:H2"/>
    <x:mergeCell ref="A22:H22"/>
    <x:mergeCell ref="A32:H32"/>
    <x:mergeCell ref="B34:H34"/>
    <x:mergeCell ref="B35:H35"/>
    <x:mergeCell ref="B36:H36"/>
    <x:mergeCell ref="B37:H37"/>
    <x:mergeCell ref="B38:H38"/>
    <x:mergeCell ref="B39:H39"/>
    <x:mergeCell ref="B40:H40"/>
    <x:mergeCell ref="A43:H43"/>
    <x:mergeCell ref="A45:H50"/>
  </x:mergeCells>
  <x:conditionalFormatting sqref="E25:E29">
    <x:cfRule type="containsText" dxfId="96" priority="1" operator="containsText" text="PASS"/>
    <x:cfRule type="containsText" dxfId="97" priority="2" operator="containsText" text="READY"/>
    <x:cfRule type="containsText" dxfId="98" priority="3" operator="containsText" text="MORE EVIDENCE"/>
    <x:cfRule type="containsText" dxfId="99" priority="4" operator="containsText" text="CONDIT"/>
    <x:cfRule type="containsText" dxfId="100" priority="5" operator="containsText" text="HOLD"/>
    <x:cfRule type="containsText" dxfId="101" priority="6" operator="containsText" text="INCOMPLETE"/>
    <x:cfRule type="containsText" dxfId="102" priority="7" operator="containsText" text="FAIL"/>
    <x:cfRule type="containsText" dxfId="103" priority="8" operator="containsText" text="NOT ELIGIBLE"/>
  </x:conditionalFormatting>
  <x:dataValidations count="2">
    <x:dataValidation type="list" sqref="F5:F19">
      <x:formula1>"Ja,Nee,N.v.t."</x:formula1>
    </x:dataValidation>
    <x:dataValidation type="list" sqref="E25:E29">
      <x:formula1>"PASS,FAIL,NOG TESTEN"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b8f8b652794b44"/>
  </x:tableParts>
</x:worksheet>
</file>